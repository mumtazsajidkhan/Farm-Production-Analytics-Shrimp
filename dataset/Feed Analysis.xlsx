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mta\OneDrive\Desktop\CV\Data Analyst\Farm Analysis\"/>
    </mc:Choice>
  </mc:AlternateContent>
  <xr:revisionPtr revIDLastSave="0" documentId="13_ncr:1_{BBC34045-BD49-43E6-8174-F866C11E8945}" xr6:coauthVersionLast="47" xr6:coauthVersionMax="47" xr10:uidLastSave="{00000000-0000-0000-0000-000000000000}"/>
  <bookViews>
    <workbookView xWindow="-120" yWindow="-120" windowWidth="20730" windowHeight="11040" tabRatio="887" activeTab="1" xr2:uid="{00000000-000D-0000-FFFF-FFFF00000000}"/>
  </bookViews>
  <sheets>
    <sheet name="MAIN" sheetId="9" r:id="rId1"/>
    <sheet name="T1_Stocking" sheetId="1" r:id="rId2"/>
    <sheet name="T2_Pop_Count_Sampling" sheetId="3" r:id="rId3"/>
    <sheet name="T3_Daily_Feed_Req" sheetId="2" r:id="rId4"/>
    <sheet name="T5_Weekly_Feed_Calc" sheetId="5" state="hidden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A23" i="2"/>
  <c r="A43" i="2" s="1"/>
  <c r="A63" i="2" s="1"/>
  <c r="A83" i="2" s="1"/>
  <c r="A103" i="2" s="1"/>
  <c r="A123" i="2" s="1"/>
  <c r="A143" i="2" s="1"/>
  <c r="A163" i="2" s="1"/>
  <c r="A183" i="2" s="1"/>
  <c r="A24" i="2"/>
  <c r="A25" i="2"/>
  <c r="A45" i="2" s="1"/>
  <c r="A65" i="2" s="1"/>
  <c r="A85" i="2" s="1"/>
  <c r="A105" i="2" s="1"/>
  <c r="A125" i="2" s="1"/>
  <c r="A145" i="2" s="1"/>
  <c r="A165" i="2" s="1"/>
  <c r="A185" i="2" s="1"/>
  <c r="A26" i="2"/>
  <c r="A46" i="2" s="1"/>
  <c r="A66" i="2" s="1"/>
  <c r="A86" i="2" s="1"/>
  <c r="A106" i="2" s="1"/>
  <c r="A126" i="2" s="1"/>
  <c r="A146" i="2" s="1"/>
  <c r="A166" i="2" s="1"/>
  <c r="A186" i="2" s="1"/>
  <c r="A27" i="2"/>
  <c r="A47" i="2" s="1"/>
  <c r="A67" i="2" s="1"/>
  <c r="A87" i="2" s="1"/>
  <c r="A107" i="2" s="1"/>
  <c r="A127" i="2" s="1"/>
  <c r="A147" i="2" s="1"/>
  <c r="A167" i="2" s="1"/>
  <c r="A187" i="2" s="1"/>
  <c r="A28" i="2"/>
  <c r="A29" i="2"/>
  <c r="A49" i="2" s="1"/>
  <c r="A69" i="2" s="1"/>
  <c r="A89" i="2" s="1"/>
  <c r="A109" i="2" s="1"/>
  <c r="A129" i="2" s="1"/>
  <c r="A149" i="2" s="1"/>
  <c r="A169" i="2" s="1"/>
  <c r="A189" i="2" s="1"/>
  <c r="A30" i="2"/>
  <c r="A50" i="2" s="1"/>
  <c r="A70" i="2" s="1"/>
  <c r="A90" i="2" s="1"/>
  <c r="A110" i="2" s="1"/>
  <c r="A130" i="2" s="1"/>
  <c r="A150" i="2" s="1"/>
  <c r="A170" i="2" s="1"/>
  <c r="A190" i="2" s="1"/>
  <c r="A31" i="2"/>
  <c r="A51" i="2" s="1"/>
  <c r="A71" i="2" s="1"/>
  <c r="A91" i="2" s="1"/>
  <c r="A111" i="2" s="1"/>
  <c r="A131" i="2" s="1"/>
  <c r="A151" i="2" s="1"/>
  <c r="A171" i="2" s="1"/>
  <c r="A191" i="2" s="1"/>
  <c r="A32" i="2"/>
  <c r="A33" i="2"/>
  <c r="A53" i="2" s="1"/>
  <c r="A73" i="2" s="1"/>
  <c r="A93" i="2" s="1"/>
  <c r="A113" i="2" s="1"/>
  <c r="A133" i="2" s="1"/>
  <c r="A153" i="2" s="1"/>
  <c r="A173" i="2" s="1"/>
  <c r="A193" i="2" s="1"/>
  <c r="A34" i="2"/>
  <c r="A54" i="2" s="1"/>
  <c r="A74" i="2" s="1"/>
  <c r="A94" i="2" s="1"/>
  <c r="A114" i="2" s="1"/>
  <c r="A134" i="2" s="1"/>
  <c r="A154" i="2" s="1"/>
  <c r="A174" i="2" s="1"/>
  <c r="A194" i="2" s="1"/>
  <c r="A35" i="2"/>
  <c r="A55" i="2" s="1"/>
  <c r="A75" i="2" s="1"/>
  <c r="A95" i="2" s="1"/>
  <c r="A115" i="2" s="1"/>
  <c r="A135" i="2" s="1"/>
  <c r="A155" i="2" s="1"/>
  <c r="A175" i="2" s="1"/>
  <c r="A195" i="2" s="1"/>
  <c r="A36" i="2"/>
  <c r="A37" i="2"/>
  <c r="A57" i="2" s="1"/>
  <c r="A77" i="2" s="1"/>
  <c r="A97" i="2" s="1"/>
  <c r="A117" i="2" s="1"/>
  <c r="A137" i="2" s="1"/>
  <c r="A157" i="2" s="1"/>
  <c r="A177" i="2" s="1"/>
  <c r="A197" i="2" s="1"/>
  <c r="A38" i="2"/>
  <c r="A58" i="2" s="1"/>
  <c r="A78" i="2" s="1"/>
  <c r="A98" i="2" s="1"/>
  <c r="A118" i="2" s="1"/>
  <c r="A138" i="2" s="1"/>
  <c r="A158" i="2" s="1"/>
  <c r="A178" i="2" s="1"/>
  <c r="A198" i="2" s="1"/>
  <c r="A39" i="2"/>
  <c r="A59" i="2" s="1"/>
  <c r="A79" i="2" s="1"/>
  <c r="A99" i="2" s="1"/>
  <c r="A119" i="2" s="1"/>
  <c r="A139" i="2" s="1"/>
  <c r="A159" i="2" s="1"/>
  <c r="A179" i="2" s="1"/>
  <c r="A199" i="2" s="1"/>
  <c r="A40" i="2"/>
  <c r="A41" i="2"/>
  <c r="A61" i="2" s="1"/>
  <c r="A81" i="2" s="1"/>
  <c r="A101" i="2" s="1"/>
  <c r="A121" i="2" s="1"/>
  <c r="A141" i="2" s="1"/>
  <c r="A161" i="2" s="1"/>
  <c r="A181" i="2" s="1"/>
  <c r="A201" i="2" s="1"/>
  <c r="A22" i="2"/>
  <c r="A42" i="2" s="1"/>
  <c r="A62" i="2" s="1"/>
  <c r="A82" i="2" s="1"/>
  <c r="A102" i="2" s="1"/>
  <c r="A122" i="2" s="1"/>
  <c r="A142" i="2" s="1"/>
  <c r="A162" i="2" s="1"/>
  <c r="A182" i="2" s="1"/>
  <c r="A60" i="2" l="1"/>
  <c r="A56" i="2"/>
  <c r="A52" i="2"/>
  <c r="A48" i="2"/>
  <c r="A44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E162" i="5"/>
  <c r="G162" i="5" s="1"/>
  <c r="E142" i="5"/>
  <c r="E122" i="5"/>
  <c r="G122" i="5" s="1"/>
  <c r="E102" i="5"/>
  <c r="E82" i="5"/>
  <c r="G82" i="5" s="1"/>
  <c r="E62" i="5"/>
  <c r="G62" i="5" s="1"/>
  <c r="E42" i="5"/>
  <c r="G42" i="5" s="1"/>
  <c r="E22" i="5"/>
  <c r="E2" i="5"/>
  <c r="F2" i="5"/>
  <c r="F3" i="5"/>
  <c r="G3" i="5" s="1"/>
  <c r="F4" i="5"/>
  <c r="G4" i="5" s="1"/>
  <c r="F5" i="5"/>
  <c r="G5" i="5" s="1"/>
  <c r="F6" i="5"/>
  <c r="G6" i="5" s="1"/>
  <c r="F7" i="5"/>
  <c r="G7" i="5" s="1"/>
  <c r="F8" i="5"/>
  <c r="G8" i="5" s="1"/>
  <c r="F9" i="5"/>
  <c r="G9" i="5" s="1"/>
  <c r="F10" i="5"/>
  <c r="G10" i="5" s="1"/>
  <c r="F11" i="5"/>
  <c r="G11" i="5"/>
  <c r="F12" i="5"/>
  <c r="G12" i="5" s="1"/>
  <c r="F13" i="5"/>
  <c r="G13" i="5"/>
  <c r="F14" i="5"/>
  <c r="G14" i="5"/>
  <c r="F15" i="5"/>
  <c r="G15" i="5"/>
  <c r="F16" i="5"/>
  <c r="G16" i="5" s="1"/>
  <c r="F17" i="5"/>
  <c r="G17" i="5"/>
  <c r="F18" i="5"/>
  <c r="G18" i="5" s="1"/>
  <c r="F19" i="5"/>
  <c r="G19" i="5" s="1"/>
  <c r="F20" i="5"/>
  <c r="G20" i="5" s="1"/>
  <c r="F21" i="5"/>
  <c r="G21" i="5" s="1"/>
  <c r="F22" i="5"/>
  <c r="F23" i="5"/>
  <c r="G23" i="5" s="1"/>
  <c r="F24" i="5"/>
  <c r="G24" i="5"/>
  <c r="F25" i="5"/>
  <c r="G25" i="5" s="1"/>
  <c r="F26" i="5"/>
  <c r="G26" i="5" s="1"/>
  <c r="F27" i="5"/>
  <c r="G27" i="5" s="1"/>
  <c r="F28" i="5"/>
  <c r="G28" i="5" s="1"/>
  <c r="F29" i="5"/>
  <c r="G29" i="5"/>
  <c r="F30" i="5"/>
  <c r="G30" i="5" s="1"/>
  <c r="F31" i="5"/>
  <c r="G31" i="5" s="1"/>
  <c r="F32" i="5"/>
  <c r="G32" i="5"/>
  <c r="F33" i="5"/>
  <c r="G33" i="5" s="1"/>
  <c r="F34" i="5"/>
  <c r="G34" i="5" s="1"/>
  <c r="F35" i="5"/>
  <c r="G35" i="5" s="1"/>
  <c r="F36" i="5"/>
  <c r="G36" i="5" s="1"/>
  <c r="F37" i="5"/>
  <c r="G37" i="5" s="1"/>
  <c r="F38" i="5"/>
  <c r="G38" i="5" s="1"/>
  <c r="F39" i="5"/>
  <c r="G39" i="5"/>
  <c r="F40" i="5"/>
  <c r="G40" i="5" s="1"/>
  <c r="F41" i="5"/>
  <c r="G41" i="5"/>
  <c r="F42" i="5"/>
  <c r="F43" i="5"/>
  <c r="G43" i="5"/>
  <c r="F44" i="5"/>
  <c r="G44" i="5" s="1"/>
  <c r="F45" i="5"/>
  <c r="G45" i="5"/>
  <c r="F46" i="5"/>
  <c r="G46" i="5" s="1"/>
  <c r="F47" i="5"/>
  <c r="G47" i="5"/>
  <c r="F48" i="5"/>
  <c r="G48" i="5" s="1"/>
  <c r="F49" i="5"/>
  <c r="G49" i="5" s="1"/>
  <c r="F50" i="5"/>
  <c r="G50" i="5" s="1"/>
  <c r="F51" i="5"/>
  <c r="G51" i="5" s="1"/>
  <c r="F52" i="5"/>
  <c r="G52" i="5" s="1"/>
  <c r="F53" i="5"/>
  <c r="G53" i="5" s="1"/>
  <c r="F54" i="5"/>
  <c r="G54" i="5"/>
  <c r="F55" i="5"/>
  <c r="G55" i="5" s="1"/>
  <c r="F56" i="5"/>
  <c r="G56" i="5" s="1"/>
  <c r="F57" i="5"/>
  <c r="G57" i="5" s="1"/>
  <c r="F58" i="5"/>
  <c r="G58" i="5" s="1"/>
  <c r="F59" i="5"/>
  <c r="G59" i="5" s="1"/>
  <c r="F60" i="5"/>
  <c r="G60" i="5" s="1"/>
  <c r="F61" i="5"/>
  <c r="G61" i="5" s="1"/>
  <c r="F62" i="5"/>
  <c r="F63" i="5"/>
  <c r="G63" i="5" s="1"/>
  <c r="F64" i="5"/>
  <c r="G64" i="5" s="1"/>
  <c r="F65" i="5"/>
  <c r="G65" i="5" s="1"/>
  <c r="F66" i="5"/>
  <c r="G66" i="5" s="1"/>
  <c r="F67" i="5"/>
  <c r="G67" i="5"/>
  <c r="F68" i="5"/>
  <c r="G68" i="5" s="1"/>
  <c r="F69" i="5"/>
  <c r="G69" i="5" s="1"/>
  <c r="F70" i="5"/>
  <c r="G70" i="5" s="1"/>
  <c r="F71" i="5"/>
  <c r="G71" i="5"/>
  <c r="F72" i="5"/>
  <c r="G72" i="5" s="1"/>
  <c r="F73" i="5"/>
  <c r="G73" i="5" s="1"/>
  <c r="F74" i="5"/>
  <c r="G74" i="5" s="1"/>
  <c r="F75" i="5"/>
  <c r="G75" i="5"/>
  <c r="F76" i="5"/>
  <c r="G76" i="5"/>
  <c r="F77" i="5"/>
  <c r="G77" i="5" s="1"/>
  <c r="F78" i="5"/>
  <c r="G78" i="5" s="1"/>
  <c r="F79" i="5"/>
  <c r="G79" i="5" s="1"/>
  <c r="F80" i="5"/>
  <c r="G80" i="5" s="1"/>
  <c r="F81" i="5"/>
  <c r="G81" i="5" s="1"/>
  <c r="F82" i="5"/>
  <c r="F83" i="5"/>
  <c r="G83" i="5"/>
  <c r="F84" i="5"/>
  <c r="G84" i="5"/>
  <c r="F85" i="5"/>
  <c r="G85" i="5" s="1"/>
  <c r="F86" i="5"/>
  <c r="G86" i="5" s="1"/>
  <c r="F87" i="5"/>
  <c r="G87" i="5" s="1"/>
  <c r="F88" i="5"/>
  <c r="G88" i="5" s="1"/>
  <c r="F89" i="5"/>
  <c r="G89" i="5" s="1"/>
  <c r="F90" i="5"/>
  <c r="G90" i="5"/>
  <c r="F91" i="5"/>
  <c r="G91" i="5" s="1"/>
  <c r="F92" i="5"/>
  <c r="G92" i="5" s="1"/>
  <c r="F93" i="5"/>
  <c r="G93" i="5" s="1"/>
  <c r="F94" i="5"/>
  <c r="G94" i="5"/>
  <c r="F95" i="5"/>
  <c r="G95" i="5" s="1"/>
  <c r="F96" i="5"/>
  <c r="G96" i="5" s="1"/>
  <c r="F97" i="5"/>
  <c r="G97" i="5" s="1"/>
  <c r="F98" i="5"/>
  <c r="G98" i="5" s="1"/>
  <c r="F99" i="5"/>
  <c r="G99" i="5"/>
  <c r="F100" i="5"/>
  <c r="G100" i="5" s="1"/>
  <c r="F101" i="5"/>
  <c r="G101" i="5" s="1"/>
  <c r="F102" i="5"/>
  <c r="F103" i="5"/>
  <c r="G103" i="5" s="1"/>
  <c r="F104" i="5"/>
  <c r="G104" i="5" s="1"/>
  <c r="F105" i="5"/>
  <c r="G105" i="5"/>
  <c r="F106" i="5"/>
  <c r="G106" i="5"/>
  <c r="F107" i="5"/>
  <c r="G107" i="5" s="1"/>
  <c r="F108" i="5"/>
  <c r="G108" i="5" s="1"/>
  <c r="F109" i="5"/>
  <c r="G109" i="5"/>
  <c r="F110" i="5"/>
  <c r="G110" i="5" s="1"/>
  <c r="F111" i="5"/>
  <c r="G111" i="5" s="1"/>
  <c r="F112" i="5"/>
  <c r="G112" i="5" s="1"/>
  <c r="F113" i="5"/>
  <c r="G113" i="5" s="1"/>
  <c r="F114" i="5"/>
  <c r="G114" i="5" s="1"/>
  <c r="F115" i="5"/>
  <c r="G115" i="5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F129" i="5"/>
  <c r="G129" i="5" s="1"/>
  <c r="F130" i="5"/>
  <c r="G130" i="5"/>
  <c r="F131" i="5"/>
  <c r="G131" i="5" s="1"/>
  <c r="F132" i="5"/>
  <c r="G132" i="5" s="1"/>
  <c r="F133" i="5"/>
  <c r="G133" i="5" s="1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/>
  <c r="F141" i="5"/>
  <c r="G141" i="5" s="1"/>
  <c r="F142" i="5"/>
  <c r="F143" i="5"/>
  <c r="G143" i="5" s="1"/>
  <c r="F144" i="5"/>
  <c r="G144" i="5" s="1"/>
  <c r="F145" i="5"/>
  <c r="G145" i="5" s="1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/>
  <c r="F152" i="5"/>
  <c r="G152" i="5" s="1"/>
  <c r="F153" i="5"/>
  <c r="G153" i="5" s="1"/>
  <c r="F154" i="5"/>
  <c r="G154" i="5"/>
  <c r="F155" i="5"/>
  <c r="G155" i="5" s="1"/>
  <c r="F156" i="5"/>
  <c r="G156" i="5" s="1"/>
  <c r="F157" i="5"/>
  <c r="G157" i="5" s="1"/>
  <c r="F158" i="5"/>
  <c r="G158" i="5"/>
  <c r="F159" i="5"/>
  <c r="G159" i="5" s="1"/>
  <c r="F160" i="5"/>
  <c r="G160" i="5"/>
  <c r="F161" i="5"/>
  <c r="G161" i="5" s="1"/>
  <c r="F162" i="5"/>
  <c r="F163" i="5"/>
  <c r="G163" i="5" s="1"/>
  <c r="F164" i="5"/>
  <c r="G164" i="5" s="1"/>
  <c r="F165" i="5"/>
  <c r="G165" i="5" s="1"/>
  <c r="F166" i="5"/>
  <c r="G166" i="5" s="1"/>
  <c r="F167" i="5"/>
  <c r="G167" i="5"/>
  <c r="F168" i="5"/>
  <c r="G168" i="5" s="1"/>
  <c r="F169" i="5"/>
  <c r="G169" i="5"/>
  <c r="F170" i="5"/>
  <c r="G170" i="5" s="1"/>
  <c r="F171" i="5"/>
  <c r="G171" i="5" s="1"/>
  <c r="F172" i="5"/>
  <c r="G172" i="5" s="1"/>
  <c r="F173" i="5"/>
  <c r="G173" i="5"/>
  <c r="F174" i="5"/>
  <c r="G174" i="5" s="1"/>
  <c r="F175" i="5"/>
  <c r="G175" i="5" s="1"/>
  <c r="F176" i="5"/>
  <c r="G176" i="5" s="1"/>
  <c r="F177" i="5"/>
  <c r="G177" i="5" s="1"/>
  <c r="F178" i="5"/>
  <c r="G178" i="5" s="1"/>
  <c r="F179" i="5"/>
  <c r="G179" i="5" s="1"/>
  <c r="F180" i="5"/>
  <c r="G180" i="5"/>
  <c r="F181" i="5"/>
  <c r="G181" i="5" s="1"/>
  <c r="A68" i="2" l="1"/>
  <c r="A76" i="2"/>
  <c r="A64" i="2"/>
  <c r="A72" i="2"/>
  <c r="A80" i="2"/>
  <c r="G22" i="5"/>
  <c r="G102" i="5"/>
  <c r="G142" i="5"/>
  <c r="J151" i="2"/>
  <c r="J53" i="2"/>
  <c r="J150" i="2"/>
  <c r="J52" i="2"/>
  <c r="J51" i="2"/>
  <c r="J78" i="2"/>
  <c r="J189" i="2"/>
  <c r="J175" i="2"/>
  <c r="J161" i="2"/>
  <c r="J147" i="2"/>
  <c r="J133" i="2"/>
  <c r="J119" i="2"/>
  <c r="J105" i="2"/>
  <c r="J91" i="2"/>
  <c r="J77" i="2"/>
  <c r="J63" i="2"/>
  <c r="J49" i="2"/>
  <c r="J35" i="2"/>
  <c r="J21" i="2"/>
  <c r="J7" i="2"/>
  <c r="J149" i="2"/>
  <c r="J79" i="2"/>
  <c r="J148" i="2"/>
  <c r="J50" i="2"/>
  <c r="J194" i="2"/>
  <c r="J180" i="2"/>
  <c r="J166" i="2"/>
  <c r="J152" i="2"/>
  <c r="J138" i="2"/>
  <c r="J124" i="2"/>
  <c r="J110" i="2"/>
  <c r="J96" i="2"/>
  <c r="J82" i="2"/>
  <c r="J68" i="2"/>
  <c r="J54" i="2"/>
  <c r="J40" i="2"/>
  <c r="J26" i="2"/>
  <c r="J12" i="2"/>
  <c r="J195" i="2"/>
  <c r="J181" i="2"/>
  <c r="J167" i="2"/>
  <c r="J153" i="2"/>
  <c r="J139" i="2"/>
  <c r="J125" i="2"/>
  <c r="J111" i="2"/>
  <c r="J97" i="2"/>
  <c r="J197" i="2"/>
  <c r="J183" i="2"/>
  <c r="J169" i="2"/>
  <c r="J155" i="2"/>
  <c r="J141" i="2"/>
  <c r="J127" i="2"/>
  <c r="J113" i="2"/>
  <c r="J99" i="2"/>
  <c r="J85" i="2"/>
  <c r="J71" i="2"/>
  <c r="J57" i="2"/>
  <c r="J43" i="2"/>
  <c r="J29" i="2"/>
  <c r="J15" i="2"/>
  <c r="J196" i="2"/>
  <c r="J182" i="2"/>
  <c r="J168" i="2"/>
  <c r="J154" i="2"/>
  <c r="J140" i="2"/>
  <c r="J126" i="2"/>
  <c r="J112" i="2"/>
  <c r="J98" i="2"/>
  <c r="J84" i="2"/>
  <c r="J70" i="2"/>
  <c r="J56" i="2"/>
  <c r="J42" i="2"/>
  <c r="J28" i="2"/>
  <c r="J14" i="2"/>
  <c r="J41" i="2"/>
  <c r="J27" i="2"/>
  <c r="J198" i="2"/>
  <c r="J184" i="2"/>
  <c r="J170" i="2"/>
  <c r="J156" i="2"/>
  <c r="J142" i="2"/>
  <c r="J128" i="2"/>
  <c r="J114" i="2"/>
  <c r="J100" i="2"/>
  <c r="J86" i="2"/>
  <c r="J72" i="2"/>
  <c r="J58" i="2"/>
  <c r="J44" i="2"/>
  <c r="J30" i="2"/>
  <c r="J16" i="2"/>
  <c r="J2" i="2"/>
  <c r="J83" i="2"/>
  <c r="J69" i="2"/>
  <c r="J55" i="2"/>
  <c r="J13" i="2"/>
  <c r="J193" i="2"/>
  <c r="J179" i="2"/>
  <c r="J165" i="2"/>
  <c r="J137" i="2"/>
  <c r="J123" i="2"/>
  <c r="J109" i="2"/>
  <c r="J95" i="2"/>
  <c r="J81" i="2"/>
  <c r="J67" i="2"/>
  <c r="J39" i="2"/>
  <c r="J25" i="2"/>
  <c r="J11" i="2"/>
  <c r="J188" i="2"/>
  <c r="J174" i="2"/>
  <c r="J160" i="2"/>
  <c r="J146" i="2"/>
  <c r="J132" i="2"/>
  <c r="J118" i="2"/>
  <c r="J104" i="2"/>
  <c r="J90" i="2"/>
  <c r="J76" i="2"/>
  <c r="J62" i="2"/>
  <c r="J48" i="2"/>
  <c r="J34" i="2"/>
  <c r="J20" i="2"/>
  <c r="J6" i="2"/>
  <c r="J192" i="2"/>
  <c r="J178" i="2"/>
  <c r="J164" i="2"/>
  <c r="J136" i="2"/>
  <c r="J122" i="2"/>
  <c r="J108" i="2"/>
  <c r="J94" i="2"/>
  <c r="J80" i="2"/>
  <c r="J66" i="2"/>
  <c r="J38" i="2"/>
  <c r="J24" i="2"/>
  <c r="J10" i="2"/>
  <c r="J201" i="2"/>
  <c r="J187" i="2"/>
  <c r="J173" i="2"/>
  <c r="J159" i="2"/>
  <c r="J145" i="2"/>
  <c r="J131" i="2"/>
  <c r="J117" i="2"/>
  <c r="J103" i="2"/>
  <c r="J89" i="2"/>
  <c r="J75" i="2"/>
  <c r="J61" i="2"/>
  <c r="J47" i="2"/>
  <c r="J33" i="2"/>
  <c r="J19" i="2"/>
  <c r="J5" i="2"/>
  <c r="J191" i="2"/>
  <c r="J177" i="2"/>
  <c r="J163" i="2"/>
  <c r="J135" i="2"/>
  <c r="J121" i="2"/>
  <c r="J107" i="2"/>
  <c r="J93" i="2"/>
  <c r="J65" i="2"/>
  <c r="J37" i="2"/>
  <c r="J23" i="2"/>
  <c r="J9" i="2"/>
  <c r="J200" i="2"/>
  <c r="J186" i="2"/>
  <c r="J172" i="2"/>
  <c r="J158" i="2"/>
  <c r="J144" i="2"/>
  <c r="J130" i="2"/>
  <c r="J116" i="2"/>
  <c r="J102" i="2"/>
  <c r="J88" i="2"/>
  <c r="J74" i="2"/>
  <c r="J60" i="2"/>
  <c r="J46" i="2"/>
  <c r="J32" i="2"/>
  <c r="J18" i="2"/>
  <c r="J4" i="2"/>
  <c r="J190" i="2"/>
  <c r="J176" i="2"/>
  <c r="J162" i="2"/>
  <c r="J134" i="2"/>
  <c r="J120" i="2"/>
  <c r="J106" i="2"/>
  <c r="J92" i="2"/>
  <c r="J64" i="2"/>
  <c r="J36" i="2"/>
  <c r="J22" i="2"/>
  <c r="J8" i="2"/>
  <c r="J199" i="2"/>
  <c r="J185" i="2"/>
  <c r="J171" i="2"/>
  <c r="J157" i="2"/>
  <c r="J143" i="2"/>
  <c r="J129" i="2"/>
  <c r="J115" i="2"/>
  <c r="J101" i="2"/>
  <c r="J87" i="2"/>
  <c r="J73" i="2"/>
  <c r="J59" i="2"/>
  <c r="J45" i="2"/>
  <c r="J31" i="2"/>
  <c r="J17" i="2"/>
  <c r="J3" i="2"/>
  <c r="G2" i="5"/>
  <c r="A92" i="2" l="1"/>
  <c r="A96" i="2"/>
  <c r="A100" i="2"/>
  <c r="A84" i="2"/>
  <c r="A88" i="2"/>
  <c r="A104" i="2" l="1"/>
  <c r="A116" i="2"/>
  <c r="A108" i="2"/>
  <c r="A120" i="2"/>
  <c r="A112" i="2"/>
  <c r="A140" i="2" l="1"/>
  <c r="A136" i="2"/>
  <c r="A132" i="2"/>
  <c r="A128" i="2"/>
  <c r="A124" i="2"/>
  <c r="A148" i="2" l="1"/>
  <c r="A156" i="2"/>
  <c r="A144" i="2"/>
  <c r="A152" i="2"/>
  <c r="A160" i="2"/>
  <c r="A172" i="2" l="1"/>
  <c r="A176" i="2"/>
  <c r="A180" i="2"/>
  <c r="A164" i="2"/>
  <c r="A168" i="2"/>
  <c r="A184" i="2" l="1"/>
  <c r="A196" i="2"/>
  <c r="A188" i="2"/>
  <c r="A200" i="2"/>
  <c r="A192" i="2"/>
</calcChain>
</file>

<file path=xl/sharedStrings.xml><?xml version="1.0" encoding="utf-8"?>
<sst xmlns="http://schemas.openxmlformats.org/spreadsheetml/2006/main" count="634" uniqueCount="49">
  <si>
    <t>Sector</t>
  </si>
  <si>
    <t>Pond ID</t>
  </si>
  <si>
    <t>Area (ha)</t>
  </si>
  <si>
    <t>Stocking Density (pcs/m2)</t>
  </si>
  <si>
    <t>Total Stocked (pcs)</t>
  </si>
  <si>
    <t>Stocking ABW (g)</t>
  </si>
  <si>
    <t>Initial Biomass (kg)</t>
  </si>
  <si>
    <t>A</t>
  </si>
  <si>
    <t>A1</t>
  </si>
  <si>
    <t>A2</t>
  </si>
  <si>
    <t>A3</t>
  </si>
  <si>
    <t>A4</t>
  </si>
  <si>
    <t>A5</t>
  </si>
  <si>
    <t>B</t>
  </si>
  <si>
    <t>B1</t>
  </si>
  <si>
    <t>B2</t>
  </si>
  <si>
    <t>B3</t>
  </si>
  <si>
    <t>B4</t>
  </si>
  <si>
    <t>B5</t>
  </si>
  <si>
    <t>C</t>
  </si>
  <si>
    <t>C1</t>
  </si>
  <si>
    <t>C2</t>
  </si>
  <si>
    <t>C3</t>
  </si>
  <si>
    <t>C4</t>
  </si>
  <si>
    <t>C5</t>
  </si>
  <si>
    <t>D</t>
  </si>
  <si>
    <t>D1</t>
  </si>
  <si>
    <t>D2</t>
  </si>
  <si>
    <t>D3</t>
  </si>
  <si>
    <t>D4</t>
  </si>
  <si>
    <t>D5</t>
  </si>
  <si>
    <t>Stocked (pcs)</t>
  </si>
  <si>
    <t>Latest Pop Count</t>
  </si>
  <si>
    <t>Current Biomass (kg)</t>
  </si>
  <si>
    <t>Calc Feed Rate (%)</t>
  </si>
  <si>
    <t>Daily Feed Req (kg)</t>
  </si>
  <si>
    <t>Day of Culture</t>
  </si>
  <si>
    <t>ABW (g)</t>
  </si>
  <si>
    <t>Est. Pop Count (pcs)</t>
  </si>
  <si>
    <t>Survival Rate (%)</t>
  </si>
  <si>
    <t>Est. Biomass (kg)</t>
  </si>
  <si>
    <t>Sampling ABW (g)</t>
  </si>
  <si>
    <t>Pop Count</t>
  </si>
  <si>
    <t>Biomass (kg)</t>
  </si>
  <si>
    <t>Feed Rate (%)</t>
  </si>
  <si>
    <t>Weight Start (g)</t>
  </si>
  <si>
    <t>DOC</t>
  </si>
  <si>
    <t>Weekly ABW (g)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</si>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</sst>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409]d\-mmm\-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0" fontId="4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vertical="center" wrapTex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 readingOrder="1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1" fillId="0" borderId="1" xfId="1" applyNumberFormat="1" applyFont="1" applyBorder="1" applyAlignment="1">
      <alignment horizontal="center" vertical="center"/>
    </xf>
    <xf numFmtId="166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6" fontId="0" fillId="0" borderId="3" xfId="1" applyNumberFormat="1" applyFont="1" applyBorder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28"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6" formatCode="[$-409]d\-mmm\-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_(* #,##0_);_(* \(#,##0\);_(* &quot;-&quot;??_);_(@_)"/>
    </dxf>
    <dxf>
      <numFmt numFmtId="0" formatCode="General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24A92-1400-403D-82FA-45C9121D66D8}" name="T1_Stocking" displayName="T1_Stocking" ref="A1:H21" totalsRowShown="0" headerRowDxfId="18" headerRowBorderDxfId="17" tableBorderDxfId="16">
  <autoFilter ref="A1:H21" xr:uid="{D1F24A92-1400-403D-82FA-45C9121D66D8}"/>
  <tableColumns count="8">
    <tableColumn id="8" xr3:uid="{C816840A-99BD-4F83-9EDF-2A114BBF3131}" name="Date" dataDxfId="15"/>
    <tableColumn id="1" xr3:uid="{59311272-81D1-4D1C-9C8A-4D7CA7B3731B}" name="Sector"/>
    <tableColumn id="2" xr3:uid="{75D2B379-E8A7-43EA-B660-B8C0B47FDE20}" name="Pond ID"/>
    <tableColumn id="3" xr3:uid="{F27A6C4F-82F2-4C4F-8473-9F053391F290}" name="Area (ha)"/>
    <tableColumn id="4" xr3:uid="{686A0AC0-D963-44CA-98CC-AC2B8406311A}" name="Stocking Density (pcs/m2)"/>
    <tableColumn id="5" xr3:uid="{F13F4B7F-BCA2-4940-9BAC-CBB61C51E433}" name="Total Stocked (pcs)" dataDxfId="14" dataCellStyle="Comma"/>
    <tableColumn id="6" xr3:uid="{1ED15810-1366-4348-8E8A-E5E9F872B7B8}" name="Stocking ABW (g)"/>
    <tableColumn id="7" xr3:uid="{AF92E851-29B1-4B0A-948F-670FC4E23BEC}" name="Initial Biomass (kg)" dataDxfId="13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03BED0-0EA5-4434-83C6-1A48BCEB6E08}" name="T3_Pop_Count_Sampling" displayName="T3_Pop_Count_Sampling" ref="A1:G181" totalsRowShown="0" headerRowDxfId="12" headerRowBorderDxfId="11" tableBorderDxfId="10">
  <autoFilter ref="A1:G181" xr:uid="{AA03BED0-0EA5-4434-83C6-1A48BCEB6E08}">
    <filterColumn colId="2">
      <filters>
        <filter val="60"/>
      </filters>
    </filterColumn>
  </autoFilter>
  <tableColumns count="7">
    <tableColumn id="1" xr3:uid="{4C39E34C-F9DF-4735-8AB5-26CD4C53094E}" name="Pond ID"/>
    <tableColumn id="7" xr3:uid="{E357F205-B13B-41C2-80CB-D08DF38D1351}" name="Total Stocked (pcs)"/>
    <tableColumn id="2" xr3:uid="{BC5BFFA1-078E-4D8E-9F03-5D3934002543}" name="Day of Culture"/>
    <tableColumn id="3" xr3:uid="{823B967F-52A2-4E40-A5C0-0BDCE6E9ABC3}" name="ABW (g)"/>
    <tableColumn id="4" xr3:uid="{23CE79A9-02C6-4C0B-B487-275AD44EE591}" name="Est. Pop Count (pcs)" dataDxfId="9" dataCellStyle="Comma"/>
    <tableColumn id="5" xr3:uid="{F644C68C-17A7-4140-AE33-93CDFDE56F2E}" name="Survival Rate (%)" dataDxfId="8" dataCellStyle="Comma">
      <calculatedColumnFormula>T3_Pop_Count_Sampling[[#This Row],[Est. Pop Count (pcs)]]/T3_Pop_Count_Sampling[[#This Row],[Total Stocked (pcs)]]*100</calculatedColumnFormula>
    </tableColumn>
    <tableColumn id="6" xr3:uid="{B21BC6E7-9ECE-49B6-A152-EBF3B5FA9FEE}" name="Est. Biomass (kg)" dataDxfId="7" dataCellStyle="Comma">
      <calculatedColumnFormula>T3_Pop_Count_Sampling[[#This Row],[Est. Pop Count (pcs)]]*T3_Pop_Count_Sampling[[#This Row],[ABW (g)]]/1000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1B4CD9-9802-41FE-9707-B493304005F8}" name="T2_Daily_Feed_Req" displayName="T2_Daily_Feed_Req" ref="A1:J201" headerRowDxfId="27" headerRowBorderDxfId="26" tableBorderDxfId="25">
  <autoFilter ref="A1:J201" xr:uid="{231B4CD9-9802-41FE-9707-B493304005F8}"/>
  <tableColumns count="10">
    <tableColumn id="12" xr3:uid="{973496B5-9C1B-46DA-BCA3-B10BE4CB9763}" name="Date" dataDxfId="24" dataCellStyle="Comma"/>
    <tableColumn id="1" xr3:uid="{61014342-5D55-47F2-A8DA-C40D8A11D37F}" name="Pond ID" totalsRowLabel="Total"/>
    <tableColumn id="2" xr3:uid="{8945951C-A5DC-4652-A038-1CA0A0E94907}" name="Area (ha)"/>
    <tableColumn id="3" xr3:uid="{D6020E7C-27BD-43C7-B22F-08E9A861A1A8}" name="Stocked (pcs)" dataDxfId="23" dataCellStyle="Comma"/>
    <tableColumn id="4" xr3:uid="{EC243BA8-3EEB-4624-8C5B-7DFF9B937C2B}" name="Weekly ABW (g)"/>
    <tableColumn id="11" xr3:uid="{6EAF49D8-294A-4A7F-8861-CB5A5D7EE139}" name="DOC"/>
    <tableColumn id="7" xr3:uid="{BF97D0CC-D0EA-4EE4-AA68-F50BB445AF8D}" name="Latest Pop Count" dataDxfId="22" dataCellStyle="Comma"/>
    <tableColumn id="8" xr3:uid="{4DD29FD9-F2BD-4E7C-8AD1-248BBAEC4567}" name="Current Biomass (kg)" dataDxfId="21" dataCellStyle="Comma">
      <calculatedColumnFormula>T2_Daily_Feed_Req[[#This Row],[Weekly ABW (g)]]*T2_Daily_Feed_Req[[#This Row],[Latest Pop Count]]/1000</calculatedColumnFormula>
    </tableColumn>
    <tableColumn id="9" xr3:uid="{9BE262B0-1319-4124-80EF-CE20ED87F953}" name="Calc Feed Rate (%)" dataDxfId="20">
      <calculatedColumnFormula>VLOOKUP(T2_Daily_Feed_Req[[#This Row],[Weekly ABW (g)]],MAIN!$A$2:$B$10,2,TRUE)</calculatedColumnFormula>
    </tableColumn>
    <tableColumn id="10" xr3:uid="{73B327B8-185B-4BE7-B3D8-1DA6D0ECB30B}" name="Daily Feed Req (kg)" totalsRowFunction="sum" dataDxfId="19" dataCellStyle="Comma">
      <calculatedColumnFormula>T2_Daily_Feed_Req[[#This Row],[Current Biomass (kg)]]*T2_Daily_Feed_Req[[#This Row],[Calc Feed Rate (%)]]/100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48E779-BCFE-4249-B59A-D28041A27972}" name="T5_Weekly_Feed_Calc" displayName="T5_Weekly_Feed_Calc" ref="A1:G181" totalsRowShown="0" headerRowDxfId="6" headerRowBorderDxfId="5" tableBorderDxfId="4">
  <autoFilter ref="A1:G181" xr:uid="{FB48E779-BCFE-4249-B59A-D28041A27972}"/>
  <tableColumns count="7">
    <tableColumn id="1" xr3:uid="{4D9A5BC8-7402-42EA-BC2B-9336AAC39545}" name="Pond ID"/>
    <tableColumn id="2" xr3:uid="{C25EC0CD-A635-4BA3-B7A6-8EDCD2C370FC}" name="Day of Culture"/>
    <tableColumn id="3" xr3:uid="{28595B57-B505-4626-8F6F-3C5DDBF4FF19}" name="Sampling ABW (g)"/>
    <tableColumn id="4" xr3:uid="{3814A3A1-0C2B-4216-8831-707725B34B3A}" name="Pop Count" dataDxfId="3" dataCellStyle="Comma"/>
    <tableColumn id="5" xr3:uid="{2095DA4D-8420-4121-A53F-FD9C1AA226BF}" name="Biomass (kg)" dataDxfId="2" dataCellStyle="Comma"/>
    <tableColumn id="6" xr3:uid="{B2BD2C83-8005-4E2E-A447-54027810B3A0}" name="Feed Rate (%)" dataDxfId="1">
      <calculatedColumnFormula>VLOOKUP(T5_Weekly_Feed_Calc[[#This Row],[Sampling ABW (g)]],MAIN!$A$2:$B$10,2,TRUE)</calculatedColumnFormula>
    </tableColumn>
    <tableColumn id="7" xr3:uid="{A5BE546B-95BB-4C74-8DF9-AF946EB63C33}" name="Daily Feed Req (kg)" dataDxfId="0" dataCellStyle="Comma">
      <calculatedColumnFormula>T5_Weekly_Feed_Calc[[#This Row],[Biomass (kg)]]*T5_Weekly_Feed_Calc[[#This Row],[Feed Rate (%)]]/100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279937-22F3-4419-A897-0E2B58B5E402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FzZMZzjlk0bcpuN3yh7C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02EF-1C61-45F4-A2EC-99A312E4BCB3}">
  <sheetPr>
    <tabColor rgb="FFFF0000"/>
  </sheetPr>
  <dimension ref="A1:B10"/>
  <sheetViews>
    <sheetView workbookViewId="0">
      <selection activeCell="B1" sqref="B1"/>
    </sheetView>
  </sheetViews>
  <sheetFormatPr defaultColWidth="19.140625" defaultRowHeight="15" x14ac:dyDescent="0.25"/>
  <cols>
    <col min="1" max="1" width="18.28515625" bestFit="1" customWidth="1"/>
    <col min="2" max="2" width="15.42578125" bestFit="1" customWidth="1"/>
  </cols>
  <sheetData>
    <row r="1" spans="1:2" ht="15.75" thickBot="1" x14ac:dyDescent="0.3">
      <c r="A1" s="4" t="s">
        <v>45</v>
      </c>
      <c r="B1" s="5" t="s">
        <v>44</v>
      </c>
    </row>
    <row r="2" spans="1:2" ht="15.75" thickBot="1" x14ac:dyDescent="0.3">
      <c r="A2" s="6">
        <v>2</v>
      </c>
      <c r="B2" s="7">
        <v>8</v>
      </c>
    </row>
    <row r="3" spans="1:2" ht="15.75" thickBot="1" x14ac:dyDescent="0.3">
      <c r="A3" s="6">
        <v>3</v>
      </c>
      <c r="B3" s="7">
        <v>7</v>
      </c>
    </row>
    <row r="4" spans="1:2" ht="15.75" thickBot="1" x14ac:dyDescent="0.3">
      <c r="A4" s="6">
        <v>5</v>
      </c>
      <c r="B4" s="7">
        <v>5.5</v>
      </c>
    </row>
    <row r="5" spans="1:2" ht="15.75" thickBot="1" x14ac:dyDescent="0.3">
      <c r="A5" s="6">
        <v>10</v>
      </c>
      <c r="B5" s="7">
        <v>4.5</v>
      </c>
    </row>
    <row r="6" spans="1:2" ht="15.75" thickBot="1" x14ac:dyDescent="0.3">
      <c r="A6" s="6">
        <v>15</v>
      </c>
      <c r="B6" s="7">
        <v>3.8</v>
      </c>
    </row>
    <row r="7" spans="1:2" ht="15.75" thickBot="1" x14ac:dyDescent="0.3">
      <c r="A7" s="6">
        <v>20</v>
      </c>
      <c r="B7" s="7">
        <v>3.2</v>
      </c>
    </row>
    <row r="8" spans="1:2" ht="15.75" thickBot="1" x14ac:dyDescent="0.3">
      <c r="A8" s="6">
        <v>25</v>
      </c>
      <c r="B8" s="7">
        <v>2.9</v>
      </c>
    </row>
    <row r="9" spans="1:2" ht="15.75" thickBot="1" x14ac:dyDescent="0.3">
      <c r="A9" s="6">
        <v>30</v>
      </c>
      <c r="B9" s="7">
        <v>2.5</v>
      </c>
    </row>
    <row r="10" spans="1:2" ht="15.75" thickBot="1" x14ac:dyDescent="0.3">
      <c r="A10" s="6">
        <v>35</v>
      </c>
      <c r="B10" s="7">
        <v>2.2999999999999998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21"/>
  <sheetViews>
    <sheetView tabSelected="1" workbookViewId="0">
      <selection activeCell="I2" sqref="I2"/>
    </sheetView>
  </sheetViews>
  <sheetFormatPr defaultRowHeight="23.25" customHeight="1" x14ac:dyDescent="0.25"/>
  <cols>
    <col min="1" max="1" width="9.42578125" bestFit="1" customWidth="1"/>
    <col min="2" max="2" width="10.5703125" bestFit="1" customWidth="1"/>
    <col min="3" max="3" width="12" bestFit="1" customWidth="1"/>
    <col min="4" max="4" width="13.140625" bestFit="1" customWidth="1"/>
    <col min="5" max="5" width="27.28515625" bestFit="1" customWidth="1"/>
    <col min="6" max="6" width="22.5703125" style="2" bestFit="1" customWidth="1"/>
    <col min="7" max="7" width="19.5703125" bestFit="1" customWidth="1"/>
    <col min="8" max="8" width="21.140625" bestFit="1" customWidth="1"/>
  </cols>
  <sheetData>
    <row r="1" spans="1:8" s="11" customFormat="1" ht="23.25" customHeight="1" x14ac:dyDescent="0.25">
      <c r="A1" s="14" t="s">
        <v>48</v>
      </c>
      <c r="B1" s="9" t="s">
        <v>0</v>
      </c>
      <c r="C1" s="9" t="s">
        <v>1</v>
      </c>
      <c r="D1" s="9" t="s">
        <v>2</v>
      </c>
      <c r="E1" s="9" t="s">
        <v>3</v>
      </c>
      <c r="F1" s="10" t="s">
        <v>4</v>
      </c>
      <c r="G1" s="9" t="s">
        <v>5</v>
      </c>
      <c r="H1" s="9" t="s">
        <v>6</v>
      </c>
    </row>
    <row r="2" spans="1:8" ht="23.25" customHeight="1" x14ac:dyDescent="0.25">
      <c r="A2" s="13">
        <v>46023</v>
      </c>
      <c r="B2" t="s">
        <v>7</v>
      </c>
      <c r="C2" t="s">
        <v>8</v>
      </c>
      <c r="D2">
        <v>9.3699999999999992</v>
      </c>
      <c r="E2">
        <v>45</v>
      </c>
      <c r="F2" s="2">
        <v>4218543</v>
      </c>
      <c r="G2">
        <v>3.22</v>
      </c>
      <c r="H2" s="2">
        <v>13599.34</v>
      </c>
    </row>
    <row r="3" spans="1:8" ht="23.25" customHeight="1" x14ac:dyDescent="0.25">
      <c r="A3" s="13">
        <v>46023</v>
      </c>
      <c r="B3" t="s">
        <v>7</v>
      </c>
      <c r="C3" t="s">
        <v>9</v>
      </c>
      <c r="D3">
        <v>9.9499999999999993</v>
      </c>
      <c r="E3">
        <v>45</v>
      </c>
      <c r="F3" s="2">
        <v>4477821</v>
      </c>
      <c r="G3">
        <v>2.2799999999999998</v>
      </c>
      <c r="H3" s="2">
        <v>10204.9</v>
      </c>
    </row>
    <row r="4" spans="1:8" ht="23.25" customHeight="1" x14ac:dyDescent="0.25">
      <c r="A4" s="13">
        <v>46023</v>
      </c>
      <c r="B4" t="s">
        <v>7</v>
      </c>
      <c r="C4" t="s">
        <v>10</v>
      </c>
      <c r="D4">
        <v>9.73</v>
      </c>
      <c r="E4">
        <v>45</v>
      </c>
      <c r="F4" s="2">
        <v>4379397</v>
      </c>
      <c r="G4">
        <v>2.58</v>
      </c>
      <c r="H4" s="2">
        <v>11317.63</v>
      </c>
    </row>
    <row r="5" spans="1:8" ht="23.25" customHeight="1" x14ac:dyDescent="0.25">
      <c r="A5" s="13">
        <v>46023</v>
      </c>
      <c r="B5" t="s">
        <v>7</v>
      </c>
      <c r="C5" t="s">
        <v>11</v>
      </c>
      <c r="D5">
        <v>9.6</v>
      </c>
      <c r="E5">
        <v>45</v>
      </c>
      <c r="F5" s="2">
        <v>4319396</v>
      </c>
      <c r="G5">
        <v>2.73</v>
      </c>
      <c r="H5" s="2">
        <v>11803.72</v>
      </c>
    </row>
    <row r="6" spans="1:8" ht="23.25" customHeight="1" x14ac:dyDescent="0.25">
      <c r="A6" s="13">
        <v>46023</v>
      </c>
      <c r="B6" t="s">
        <v>7</v>
      </c>
      <c r="C6" t="s">
        <v>12</v>
      </c>
      <c r="D6">
        <v>9.16</v>
      </c>
      <c r="E6">
        <v>45</v>
      </c>
      <c r="F6" s="2">
        <v>4120208</v>
      </c>
      <c r="G6">
        <v>2.91</v>
      </c>
      <c r="H6" s="2">
        <v>11998.62</v>
      </c>
    </row>
    <row r="7" spans="1:8" ht="23.25" customHeight="1" x14ac:dyDescent="0.25">
      <c r="A7" s="13">
        <v>46024</v>
      </c>
      <c r="B7" t="s">
        <v>13</v>
      </c>
      <c r="C7" t="s">
        <v>14</v>
      </c>
      <c r="D7">
        <v>9.16</v>
      </c>
      <c r="E7">
        <v>45</v>
      </c>
      <c r="F7" s="2">
        <v>4120198</v>
      </c>
      <c r="G7">
        <v>3.57</v>
      </c>
      <c r="H7" s="2">
        <v>14710.56</v>
      </c>
    </row>
    <row r="8" spans="1:8" ht="23.25" customHeight="1" x14ac:dyDescent="0.25">
      <c r="A8" s="13">
        <v>46024</v>
      </c>
      <c r="B8" t="s">
        <v>13</v>
      </c>
      <c r="C8" t="s">
        <v>15</v>
      </c>
      <c r="D8">
        <v>9.06</v>
      </c>
      <c r="E8">
        <v>45</v>
      </c>
      <c r="F8" s="2">
        <v>4076138</v>
      </c>
      <c r="G8">
        <v>2.4</v>
      </c>
      <c r="H8" s="2">
        <v>9780.07</v>
      </c>
    </row>
    <row r="9" spans="1:8" ht="23.25" customHeight="1" x14ac:dyDescent="0.25">
      <c r="A9" s="13">
        <v>46024</v>
      </c>
      <c r="B9" t="s">
        <v>13</v>
      </c>
      <c r="C9" t="s">
        <v>16</v>
      </c>
      <c r="D9">
        <v>9.8699999999999992</v>
      </c>
      <c r="E9">
        <v>45</v>
      </c>
      <c r="F9" s="2">
        <v>4439779</v>
      </c>
      <c r="G9">
        <v>3.03</v>
      </c>
      <c r="H9" s="2">
        <v>13445.73</v>
      </c>
    </row>
    <row r="10" spans="1:8" ht="23.25" customHeight="1" x14ac:dyDescent="0.25">
      <c r="A10" s="13">
        <v>46024</v>
      </c>
      <c r="B10" t="s">
        <v>13</v>
      </c>
      <c r="C10" t="s">
        <v>17</v>
      </c>
      <c r="D10">
        <v>9.6</v>
      </c>
      <c r="E10">
        <v>45</v>
      </c>
      <c r="F10" s="2">
        <v>4320502</v>
      </c>
      <c r="G10">
        <v>3.18</v>
      </c>
      <c r="H10" s="2">
        <v>13760.06</v>
      </c>
    </row>
    <row r="11" spans="1:8" ht="23.25" customHeight="1" x14ac:dyDescent="0.25">
      <c r="A11" s="13">
        <v>46024</v>
      </c>
      <c r="B11" t="s">
        <v>13</v>
      </c>
      <c r="C11" t="s">
        <v>18</v>
      </c>
      <c r="D11">
        <v>9.7100000000000009</v>
      </c>
      <c r="E11">
        <v>45</v>
      </c>
      <c r="F11" s="2">
        <v>4368633</v>
      </c>
      <c r="G11">
        <v>2.09</v>
      </c>
      <c r="H11" s="2">
        <v>9143.11</v>
      </c>
    </row>
    <row r="12" spans="1:8" ht="23.25" customHeight="1" x14ac:dyDescent="0.25">
      <c r="A12" s="13">
        <v>46025</v>
      </c>
      <c r="B12" t="s">
        <v>19</v>
      </c>
      <c r="C12" t="s">
        <v>20</v>
      </c>
      <c r="D12">
        <v>9.02</v>
      </c>
      <c r="E12">
        <v>45</v>
      </c>
      <c r="F12" s="2">
        <v>4059263</v>
      </c>
      <c r="G12">
        <v>3.22</v>
      </c>
      <c r="H12" s="2">
        <v>13050.89</v>
      </c>
    </row>
    <row r="13" spans="1:8" ht="23.25" customHeight="1" x14ac:dyDescent="0.25">
      <c r="A13" s="13">
        <v>46025</v>
      </c>
      <c r="B13" t="s">
        <v>19</v>
      </c>
      <c r="C13" t="s">
        <v>21</v>
      </c>
      <c r="D13">
        <v>9.9700000000000006</v>
      </c>
      <c r="E13">
        <v>45</v>
      </c>
      <c r="F13" s="2">
        <v>4486459</v>
      </c>
      <c r="G13">
        <v>2.34</v>
      </c>
      <c r="H13" s="2">
        <v>10503.02</v>
      </c>
    </row>
    <row r="14" spans="1:8" ht="23.25" customHeight="1" x14ac:dyDescent="0.25">
      <c r="A14" s="13">
        <v>46025</v>
      </c>
      <c r="B14" t="s">
        <v>19</v>
      </c>
      <c r="C14" t="s">
        <v>22</v>
      </c>
      <c r="D14">
        <v>9.83</v>
      </c>
      <c r="E14">
        <v>45</v>
      </c>
      <c r="F14" s="2">
        <v>4424599</v>
      </c>
      <c r="G14">
        <v>2.13</v>
      </c>
      <c r="H14" s="2">
        <v>9424.85</v>
      </c>
    </row>
    <row r="15" spans="1:8" ht="23.25" customHeight="1" x14ac:dyDescent="0.25">
      <c r="A15" s="13">
        <v>46025</v>
      </c>
      <c r="B15" t="s">
        <v>19</v>
      </c>
      <c r="C15" t="s">
        <v>23</v>
      </c>
      <c r="D15">
        <v>9.2100000000000009</v>
      </c>
      <c r="E15">
        <v>45</v>
      </c>
      <c r="F15" s="2">
        <v>4145553</v>
      </c>
      <c r="G15">
        <v>3.9</v>
      </c>
      <c r="H15" s="2">
        <v>16158.42</v>
      </c>
    </row>
    <row r="16" spans="1:8" ht="23.25" customHeight="1" x14ac:dyDescent="0.25">
      <c r="A16" s="13">
        <v>46025</v>
      </c>
      <c r="B16" t="s">
        <v>19</v>
      </c>
      <c r="C16" t="s">
        <v>24</v>
      </c>
      <c r="D16">
        <v>9.18</v>
      </c>
      <c r="E16">
        <v>45</v>
      </c>
      <c r="F16" s="2">
        <v>4131821</v>
      </c>
      <c r="G16">
        <v>3.93</v>
      </c>
      <c r="H16" s="2">
        <v>16243.28</v>
      </c>
    </row>
    <row r="17" spans="1:8" ht="23.25" customHeight="1" x14ac:dyDescent="0.25">
      <c r="A17" s="13">
        <v>46026</v>
      </c>
      <c r="B17" t="s">
        <v>25</v>
      </c>
      <c r="C17" t="s">
        <v>26</v>
      </c>
      <c r="D17">
        <v>9.18</v>
      </c>
      <c r="E17">
        <v>45</v>
      </c>
      <c r="F17" s="2">
        <v>4132532</v>
      </c>
      <c r="G17">
        <v>3.62</v>
      </c>
      <c r="H17" s="2">
        <v>14946.52</v>
      </c>
    </row>
    <row r="18" spans="1:8" ht="23.25" customHeight="1" x14ac:dyDescent="0.25">
      <c r="A18" s="13">
        <v>46026</v>
      </c>
      <c r="B18" t="s">
        <v>25</v>
      </c>
      <c r="C18" t="s">
        <v>27</v>
      </c>
      <c r="D18">
        <v>9.3000000000000007</v>
      </c>
      <c r="E18">
        <v>45</v>
      </c>
      <c r="F18" s="2">
        <v>4186909</v>
      </c>
      <c r="G18">
        <v>2.61</v>
      </c>
      <c r="H18" s="2">
        <v>10924.6</v>
      </c>
    </row>
    <row r="19" spans="1:8" ht="23.25" customHeight="1" x14ac:dyDescent="0.25">
      <c r="A19" s="13">
        <v>46026</v>
      </c>
      <c r="B19" t="s">
        <v>25</v>
      </c>
      <c r="C19" t="s">
        <v>28</v>
      </c>
      <c r="D19">
        <v>9.52</v>
      </c>
      <c r="E19">
        <v>45</v>
      </c>
      <c r="F19" s="2">
        <v>4286140</v>
      </c>
      <c r="G19">
        <v>2.2000000000000002</v>
      </c>
      <c r="H19" s="2">
        <v>9409.5499999999993</v>
      </c>
    </row>
    <row r="20" spans="1:8" ht="23.25" customHeight="1" x14ac:dyDescent="0.25">
      <c r="A20" s="13">
        <v>46026</v>
      </c>
      <c r="B20" t="s">
        <v>25</v>
      </c>
      <c r="C20" t="s">
        <v>29</v>
      </c>
      <c r="D20">
        <v>9.43</v>
      </c>
      <c r="E20">
        <v>45</v>
      </c>
      <c r="F20" s="2">
        <v>4244375</v>
      </c>
      <c r="G20">
        <v>3.37</v>
      </c>
      <c r="H20" s="2">
        <v>14297.03</v>
      </c>
    </row>
    <row r="21" spans="1:8" ht="23.25" customHeight="1" x14ac:dyDescent="0.25">
      <c r="A21" s="13">
        <v>46026</v>
      </c>
      <c r="B21" t="s">
        <v>25</v>
      </c>
      <c r="C21" t="s">
        <v>30</v>
      </c>
      <c r="D21">
        <v>9.2899999999999991</v>
      </c>
      <c r="E21">
        <v>45</v>
      </c>
      <c r="F21" s="2">
        <v>4181053</v>
      </c>
      <c r="G21">
        <v>2.88</v>
      </c>
      <c r="H21" s="2">
        <v>12042.71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G181"/>
  <sheetViews>
    <sheetView zoomScale="95" zoomScaleNormal="95" workbookViewId="0">
      <selection activeCell="C174" sqref="C174"/>
    </sheetView>
  </sheetViews>
  <sheetFormatPr defaultRowHeight="24" customHeight="1" x14ac:dyDescent="0.25"/>
  <cols>
    <col min="1" max="1" width="12.42578125" bestFit="1" customWidth="1"/>
    <col min="2" max="2" width="23.85546875" bestFit="1" customWidth="1"/>
    <col min="3" max="3" width="18.28515625" bestFit="1" customWidth="1"/>
    <col min="4" max="4" width="12.85546875" bestFit="1" customWidth="1"/>
    <col min="5" max="5" width="23.28515625" style="2" bestFit="1" customWidth="1"/>
    <col min="6" max="6" width="20.5703125" style="1" bestFit="1" customWidth="1"/>
    <col min="7" max="7" width="20.42578125" style="2" bestFit="1" customWidth="1"/>
  </cols>
  <sheetData>
    <row r="1" spans="1:7" s="11" customFormat="1" ht="24" customHeight="1" x14ac:dyDescent="0.25">
      <c r="A1" s="9" t="s">
        <v>1</v>
      </c>
      <c r="B1" s="10" t="s">
        <v>4</v>
      </c>
      <c r="C1" s="9" t="s">
        <v>36</v>
      </c>
      <c r="D1" s="9" t="s">
        <v>37</v>
      </c>
      <c r="E1" s="10" t="s">
        <v>38</v>
      </c>
      <c r="F1" s="12" t="s">
        <v>39</v>
      </c>
      <c r="G1" s="10" t="s">
        <v>40</v>
      </c>
    </row>
    <row r="2" spans="1:7" ht="24" hidden="1" customHeight="1" x14ac:dyDescent="0.25">
      <c r="A2" t="s">
        <v>8</v>
      </c>
      <c r="B2" s="2">
        <v>4218543</v>
      </c>
      <c r="C2">
        <v>7</v>
      </c>
      <c r="D2">
        <v>4.33</v>
      </c>
      <c r="E2" s="2">
        <v>3120637</v>
      </c>
      <c r="F2" s="1">
        <f>T3_Pop_Count_Sampling[[#This Row],[Est. Pop Count (pcs)]]/T3_Pop_Count_Sampling[[#This Row],[Total Stocked (pcs)]]*100</f>
        <v>73.974284486373605</v>
      </c>
      <c r="G2" s="2">
        <f>T3_Pop_Count_Sampling[[#This Row],[Est. Pop Count (pcs)]]*T3_Pop_Count_Sampling[[#This Row],[ABW (g)]]/1000</f>
        <v>13512.35821</v>
      </c>
    </row>
    <row r="3" spans="1:7" ht="24" hidden="1" customHeight="1" x14ac:dyDescent="0.25">
      <c r="A3" t="s">
        <v>9</v>
      </c>
      <c r="B3" s="2">
        <v>4477821</v>
      </c>
      <c r="C3">
        <v>7</v>
      </c>
      <c r="D3">
        <v>3.72</v>
      </c>
      <c r="E3" s="2">
        <v>3334632</v>
      </c>
      <c r="F3" s="1">
        <f>T3_Pop_Count_Sampling[[#This Row],[Est. Pop Count (pcs)]]/T3_Pop_Count_Sampling[[#This Row],[Total Stocked (pcs)]]*100</f>
        <v>74.469970997054148</v>
      </c>
      <c r="G3" s="2">
        <f>T3_Pop_Count_Sampling[[#This Row],[Est. Pop Count (pcs)]]*T3_Pop_Count_Sampling[[#This Row],[ABW (g)]]/1000</f>
        <v>12404.831040000001</v>
      </c>
    </row>
    <row r="4" spans="1:7" ht="24" hidden="1" customHeight="1" x14ac:dyDescent="0.25">
      <c r="A4" t="s">
        <v>10</v>
      </c>
      <c r="B4" s="2">
        <v>4379397</v>
      </c>
      <c r="C4">
        <v>7</v>
      </c>
      <c r="D4">
        <v>3.62</v>
      </c>
      <c r="E4" s="2">
        <v>3244520</v>
      </c>
      <c r="F4" s="1">
        <f>T3_Pop_Count_Sampling[[#This Row],[Est. Pop Count (pcs)]]/T3_Pop_Count_Sampling[[#This Row],[Total Stocked (pcs)]]*100</f>
        <v>74.085998597523812</v>
      </c>
      <c r="G4" s="2">
        <f>T3_Pop_Count_Sampling[[#This Row],[Est. Pop Count (pcs)]]*T3_Pop_Count_Sampling[[#This Row],[ABW (g)]]/1000</f>
        <v>11745.162400000001</v>
      </c>
    </row>
    <row r="5" spans="1:7" ht="24" hidden="1" customHeight="1" x14ac:dyDescent="0.25">
      <c r="A5" t="s">
        <v>11</v>
      </c>
      <c r="B5" s="2">
        <v>4319396</v>
      </c>
      <c r="C5">
        <v>7</v>
      </c>
      <c r="D5">
        <v>4.55</v>
      </c>
      <c r="E5" s="2">
        <v>2352841</v>
      </c>
      <c r="F5" s="1">
        <f>T3_Pop_Count_Sampling[[#This Row],[Est. Pop Count (pcs)]]/T3_Pop_Count_Sampling[[#This Row],[Total Stocked (pcs)]]*100</f>
        <v>54.471527963631949</v>
      </c>
      <c r="G5" s="2">
        <f>T3_Pop_Count_Sampling[[#This Row],[Est. Pop Count (pcs)]]*T3_Pop_Count_Sampling[[#This Row],[ABW (g)]]/1000</f>
        <v>10705.426549999998</v>
      </c>
    </row>
    <row r="6" spans="1:7" ht="24" hidden="1" customHeight="1" x14ac:dyDescent="0.25">
      <c r="A6" t="s">
        <v>12</v>
      </c>
      <c r="B6" s="2">
        <v>4120208</v>
      </c>
      <c r="C6">
        <v>7</v>
      </c>
      <c r="D6">
        <v>4.1500000000000004</v>
      </c>
      <c r="E6" s="2">
        <v>3072116</v>
      </c>
      <c r="F6" s="1">
        <f>T3_Pop_Count_Sampling[[#This Row],[Est. Pop Count (pcs)]]/T3_Pop_Count_Sampling[[#This Row],[Total Stocked (pcs)]]*100</f>
        <v>74.562158026973393</v>
      </c>
      <c r="G6" s="2">
        <f>T3_Pop_Count_Sampling[[#This Row],[Est. Pop Count (pcs)]]*T3_Pop_Count_Sampling[[#This Row],[ABW (g)]]/1000</f>
        <v>12749.2814</v>
      </c>
    </row>
    <row r="7" spans="1:7" ht="24" hidden="1" customHeight="1" x14ac:dyDescent="0.25">
      <c r="A7" t="s">
        <v>14</v>
      </c>
      <c r="B7" s="2">
        <v>4120198</v>
      </c>
      <c r="C7">
        <v>7</v>
      </c>
      <c r="D7">
        <v>5.17</v>
      </c>
      <c r="E7" s="2">
        <v>2064710</v>
      </c>
      <c r="F7" s="1">
        <f>T3_Pop_Count_Sampling[[#This Row],[Est. Pop Count (pcs)]]/T3_Pop_Count_Sampling[[#This Row],[Total Stocked (pcs)]]*100</f>
        <v>50.111912097428323</v>
      </c>
      <c r="G7" s="2">
        <f>T3_Pop_Count_Sampling[[#This Row],[Est. Pop Count (pcs)]]*T3_Pop_Count_Sampling[[#This Row],[ABW (g)]]/1000</f>
        <v>10674.5507</v>
      </c>
    </row>
    <row r="8" spans="1:7" ht="24" hidden="1" customHeight="1" x14ac:dyDescent="0.25">
      <c r="A8" t="s">
        <v>15</v>
      </c>
      <c r="B8" s="2">
        <v>4076138</v>
      </c>
      <c r="C8">
        <v>7</v>
      </c>
      <c r="D8">
        <v>3.68</v>
      </c>
      <c r="E8" s="2">
        <v>1951969</v>
      </c>
      <c r="F8" s="1">
        <f>T3_Pop_Count_Sampling[[#This Row],[Est. Pop Count (pcs)]]/T3_Pop_Count_Sampling[[#This Row],[Total Stocked (pcs)]]*100</f>
        <v>47.887706451548006</v>
      </c>
      <c r="G8" s="2">
        <f>T3_Pop_Count_Sampling[[#This Row],[Est. Pop Count (pcs)]]*T3_Pop_Count_Sampling[[#This Row],[ABW (g)]]/1000</f>
        <v>7183.2459200000003</v>
      </c>
    </row>
    <row r="9" spans="1:7" ht="24" hidden="1" customHeight="1" x14ac:dyDescent="0.25">
      <c r="A9" t="s">
        <v>16</v>
      </c>
      <c r="B9" s="2">
        <v>4439779</v>
      </c>
      <c r="C9">
        <v>7</v>
      </c>
      <c r="D9">
        <v>4.5</v>
      </c>
      <c r="E9" s="2">
        <v>2351740</v>
      </c>
      <c r="F9" s="1">
        <f>T3_Pop_Count_Sampling[[#This Row],[Est. Pop Count (pcs)]]/T3_Pop_Count_Sampling[[#This Row],[Total Stocked (pcs)]]*100</f>
        <v>52.969753674676149</v>
      </c>
      <c r="G9" s="2">
        <f>T3_Pop_Count_Sampling[[#This Row],[Est. Pop Count (pcs)]]*T3_Pop_Count_Sampling[[#This Row],[ABW (g)]]/1000</f>
        <v>10582.83</v>
      </c>
    </row>
    <row r="10" spans="1:7" ht="24" hidden="1" customHeight="1" x14ac:dyDescent="0.25">
      <c r="A10" t="s">
        <v>17</v>
      </c>
      <c r="B10" s="2">
        <v>4320502</v>
      </c>
      <c r="C10">
        <v>7</v>
      </c>
      <c r="D10">
        <v>4.68</v>
      </c>
      <c r="E10" s="2">
        <v>3198674</v>
      </c>
      <c r="F10" s="1">
        <f>T3_Pop_Count_Sampling[[#This Row],[Est. Pop Count (pcs)]]/T3_Pop_Count_Sampling[[#This Row],[Total Stocked (pcs)]]*100</f>
        <v>74.034776514395787</v>
      </c>
      <c r="G10" s="2">
        <f>T3_Pop_Count_Sampling[[#This Row],[Est. Pop Count (pcs)]]*T3_Pop_Count_Sampling[[#This Row],[ABW (g)]]/1000</f>
        <v>14969.794319999999</v>
      </c>
    </row>
    <row r="11" spans="1:7" ht="24" hidden="1" customHeight="1" x14ac:dyDescent="0.25">
      <c r="A11" t="s">
        <v>18</v>
      </c>
      <c r="B11" s="2">
        <v>4368633</v>
      </c>
      <c r="C11">
        <v>7</v>
      </c>
      <c r="D11">
        <v>3.26</v>
      </c>
      <c r="E11" s="2">
        <v>3236070</v>
      </c>
      <c r="F11" s="1">
        <f>T3_Pop_Count_Sampling[[#This Row],[Est. Pop Count (pcs)]]/T3_Pop_Count_Sampling[[#This Row],[Total Stocked (pcs)]]*100</f>
        <v>74.075116861498785</v>
      </c>
      <c r="G11" s="2">
        <f>T3_Pop_Count_Sampling[[#This Row],[Est. Pop Count (pcs)]]*T3_Pop_Count_Sampling[[#This Row],[ABW (g)]]/1000</f>
        <v>10549.5882</v>
      </c>
    </row>
    <row r="12" spans="1:7" ht="24" hidden="1" customHeight="1" x14ac:dyDescent="0.25">
      <c r="A12" t="s">
        <v>20</v>
      </c>
      <c r="B12" s="2">
        <v>4059263</v>
      </c>
      <c r="C12">
        <v>7</v>
      </c>
      <c r="D12">
        <v>5.09</v>
      </c>
      <c r="E12" s="2">
        <v>2148969</v>
      </c>
      <c r="F12" s="1">
        <f>T3_Pop_Count_Sampling[[#This Row],[Est. Pop Count (pcs)]]/T3_Pop_Count_Sampling[[#This Row],[Total Stocked (pcs)]]*100</f>
        <v>52.939880958686345</v>
      </c>
      <c r="G12" s="2">
        <f>T3_Pop_Count_Sampling[[#This Row],[Est. Pop Count (pcs)]]*T3_Pop_Count_Sampling[[#This Row],[ABW (g)]]/1000</f>
        <v>10938.252209999999</v>
      </c>
    </row>
    <row r="13" spans="1:7" ht="24" hidden="1" customHeight="1" x14ac:dyDescent="0.25">
      <c r="A13" t="s">
        <v>21</v>
      </c>
      <c r="B13" s="2">
        <v>4486459</v>
      </c>
      <c r="C13">
        <v>7</v>
      </c>
      <c r="D13">
        <v>4.04</v>
      </c>
      <c r="E13" s="2">
        <v>3358270</v>
      </c>
      <c r="F13" s="1">
        <f>T3_Pop_Count_Sampling[[#This Row],[Est. Pop Count (pcs)]]/T3_Pop_Count_Sampling[[#This Row],[Total Stocked (pcs)]]*100</f>
        <v>74.853464614298275</v>
      </c>
      <c r="G13" s="2">
        <f>T3_Pop_Count_Sampling[[#This Row],[Est. Pop Count (pcs)]]*T3_Pop_Count_Sampling[[#This Row],[ABW (g)]]/1000</f>
        <v>13567.410800000001</v>
      </c>
    </row>
    <row r="14" spans="1:7" ht="24" hidden="1" customHeight="1" x14ac:dyDescent="0.25">
      <c r="A14" t="s">
        <v>22</v>
      </c>
      <c r="B14" s="2">
        <v>4424599</v>
      </c>
      <c r="C14">
        <v>7</v>
      </c>
      <c r="D14">
        <v>3.98</v>
      </c>
      <c r="E14" s="2">
        <v>3301985</v>
      </c>
      <c r="F14" s="1">
        <f>T3_Pop_Count_Sampling[[#This Row],[Est. Pop Count (pcs)]]/T3_Pop_Count_Sampling[[#This Row],[Total Stocked (pcs)]]*100</f>
        <v>74.627892832774222</v>
      </c>
      <c r="G14" s="2">
        <f>T3_Pop_Count_Sampling[[#This Row],[Est. Pop Count (pcs)]]*T3_Pop_Count_Sampling[[#This Row],[ABW (g)]]/1000</f>
        <v>13141.900300000001</v>
      </c>
    </row>
    <row r="15" spans="1:7" ht="24" hidden="1" customHeight="1" x14ac:dyDescent="0.25">
      <c r="A15" t="s">
        <v>23</v>
      </c>
      <c r="B15" s="2">
        <v>4145553</v>
      </c>
      <c r="C15">
        <v>7</v>
      </c>
      <c r="D15">
        <v>5.7</v>
      </c>
      <c r="E15" s="2">
        <v>1835964</v>
      </c>
      <c r="F15" s="1">
        <f>T3_Pop_Count_Sampling[[#This Row],[Est. Pop Count (pcs)]]/T3_Pop_Count_Sampling[[#This Row],[Total Stocked (pcs)]]*100</f>
        <v>44.28755343376384</v>
      </c>
      <c r="G15" s="2">
        <f>T3_Pop_Count_Sampling[[#This Row],[Est. Pop Count (pcs)]]*T3_Pop_Count_Sampling[[#This Row],[ABW (g)]]/1000</f>
        <v>10464.9948</v>
      </c>
    </row>
    <row r="16" spans="1:7" ht="24" hidden="1" customHeight="1" x14ac:dyDescent="0.25">
      <c r="A16" t="s">
        <v>24</v>
      </c>
      <c r="B16" s="2">
        <v>4131821</v>
      </c>
      <c r="C16">
        <v>7</v>
      </c>
      <c r="D16">
        <v>5.47</v>
      </c>
      <c r="E16" s="2">
        <v>3074991</v>
      </c>
      <c r="F16" s="1">
        <f>T3_Pop_Count_Sampling[[#This Row],[Est. Pop Count (pcs)]]/T3_Pop_Count_Sampling[[#This Row],[Total Stocked (pcs)]]*100</f>
        <v>74.422173661443708</v>
      </c>
      <c r="G16" s="2">
        <f>T3_Pop_Count_Sampling[[#This Row],[Est. Pop Count (pcs)]]*T3_Pop_Count_Sampling[[#This Row],[ABW (g)]]/1000</f>
        <v>16820.200769999999</v>
      </c>
    </row>
    <row r="17" spans="1:7" ht="24" hidden="1" customHeight="1" x14ac:dyDescent="0.25">
      <c r="A17" t="s">
        <v>26</v>
      </c>
      <c r="B17" s="2">
        <v>4132532</v>
      </c>
      <c r="C17">
        <v>7</v>
      </c>
      <c r="D17">
        <v>5.45</v>
      </c>
      <c r="E17" s="2">
        <v>3069378</v>
      </c>
      <c r="F17" s="1">
        <f>T3_Pop_Count_Sampling[[#This Row],[Est. Pop Count (pcs)]]/T3_Pop_Count_Sampling[[#This Row],[Total Stocked (pcs)]]*100</f>
        <v>74.273544645268331</v>
      </c>
      <c r="G17" s="2">
        <f>T3_Pop_Count_Sampling[[#This Row],[Est. Pop Count (pcs)]]*T3_Pop_Count_Sampling[[#This Row],[ABW (g)]]/1000</f>
        <v>16728.110099999998</v>
      </c>
    </row>
    <row r="18" spans="1:7" ht="24" hidden="1" customHeight="1" x14ac:dyDescent="0.25">
      <c r="A18" t="s">
        <v>27</v>
      </c>
      <c r="B18" s="2">
        <v>4186909</v>
      </c>
      <c r="C18">
        <v>7</v>
      </c>
      <c r="D18">
        <v>3.69</v>
      </c>
      <c r="E18" s="2">
        <v>3098936</v>
      </c>
      <c r="F18" s="1">
        <f>T3_Pop_Count_Sampling[[#This Row],[Est. Pop Count (pcs)]]/T3_Pop_Count_Sampling[[#This Row],[Total Stocked (pcs)]]*100</f>
        <v>74.014887832527535</v>
      </c>
      <c r="G18" s="2">
        <f>T3_Pop_Count_Sampling[[#This Row],[Est. Pop Count (pcs)]]*T3_Pop_Count_Sampling[[#This Row],[ABW (g)]]/1000</f>
        <v>11435.073839999999</v>
      </c>
    </row>
    <row r="19" spans="1:7" ht="24" hidden="1" customHeight="1" x14ac:dyDescent="0.25">
      <c r="A19" t="s">
        <v>28</v>
      </c>
      <c r="B19" s="2">
        <v>4286140</v>
      </c>
      <c r="C19">
        <v>7</v>
      </c>
      <c r="D19">
        <v>3.37</v>
      </c>
      <c r="E19" s="2">
        <v>3192994</v>
      </c>
      <c r="F19" s="1">
        <f>T3_Pop_Count_Sampling[[#This Row],[Est. Pop Count (pcs)]]/T3_Pop_Count_Sampling[[#This Row],[Total Stocked (pcs)]]*100</f>
        <v>74.495793417853832</v>
      </c>
      <c r="G19" s="2">
        <f>T3_Pop_Count_Sampling[[#This Row],[Est. Pop Count (pcs)]]*T3_Pop_Count_Sampling[[#This Row],[ABW (g)]]/1000</f>
        <v>10760.389780000001</v>
      </c>
    </row>
    <row r="20" spans="1:7" ht="24" hidden="1" customHeight="1" x14ac:dyDescent="0.25">
      <c r="A20" t="s">
        <v>29</v>
      </c>
      <c r="B20" s="2">
        <v>4244375</v>
      </c>
      <c r="C20">
        <v>7</v>
      </c>
      <c r="D20">
        <v>4.41</v>
      </c>
      <c r="E20" s="2">
        <v>2361338</v>
      </c>
      <c r="F20" s="1">
        <f>T3_Pop_Count_Sampling[[#This Row],[Est. Pop Count (pcs)]]/T3_Pop_Count_Sampling[[#This Row],[Total Stocked (pcs)]]*100</f>
        <v>55.634528051833307</v>
      </c>
      <c r="G20" s="2">
        <f>T3_Pop_Count_Sampling[[#This Row],[Est. Pop Count (pcs)]]*T3_Pop_Count_Sampling[[#This Row],[ABW (g)]]/1000</f>
        <v>10413.50058</v>
      </c>
    </row>
    <row r="21" spans="1:7" ht="24" hidden="1" customHeight="1" x14ac:dyDescent="0.25">
      <c r="A21" t="s">
        <v>30</v>
      </c>
      <c r="B21" s="2">
        <v>4181053</v>
      </c>
      <c r="C21">
        <v>7</v>
      </c>
      <c r="D21">
        <v>4.17</v>
      </c>
      <c r="E21" s="2">
        <v>3105252</v>
      </c>
      <c r="F21" s="1">
        <f>T3_Pop_Count_Sampling[[#This Row],[Est. Pop Count (pcs)]]/T3_Pop_Count_Sampling[[#This Row],[Total Stocked (pcs)]]*100</f>
        <v>74.269615812093264</v>
      </c>
      <c r="G21" s="2">
        <f>T3_Pop_Count_Sampling[[#This Row],[Est. Pop Count (pcs)]]*T3_Pop_Count_Sampling[[#This Row],[ABW (g)]]/1000</f>
        <v>12948.90084</v>
      </c>
    </row>
    <row r="22" spans="1:7" ht="24" hidden="1" customHeight="1" x14ac:dyDescent="0.25">
      <c r="A22" t="s">
        <v>8</v>
      </c>
      <c r="B22" s="2">
        <v>4218543</v>
      </c>
      <c r="C22">
        <v>14</v>
      </c>
      <c r="D22">
        <v>5.36</v>
      </c>
      <c r="E22" s="2">
        <v>3115603</v>
      </c>
      <c r="F22" s="1">
        <f>T3_Pop_Count_Sampling[[#This Row],[Est. Pop Count (pcs)]]/T3_Pop_Count_Sampling[[#This Row],[Total Stocked (pcs)]]*100</f>
        <v>73.854954186789129</v>
      </c>
      <c r="G22" s="2">
        <f>T3_Pop_Count_Sampling[[#This Row],[Est. Pop Count (pcs)]]*T3_Pop_Count_Sampling[[#This Row],[ABW (g)]]/1000</f>
        <v>16699.632079999999</v>
      </c>
    </row>
    <row r="23" spans="1:7" ht="24" hidden="1" customHeight="1" x14ac:dyDescent="0.25">
      <c r="A23" t="s">
        <v>9</v>
      </c>
      <c r="B23" s="2">
        <v>4477821</v>
      </c>
      <c r="C23">
        <v>14</v>
      </c>
      <c r="D23">
        <v>5.3</v>
      </c>
      <c r="E23" s="2">
        <v>3319447</v>
      </c>
      <c r="F23" s="1">
        <f>T3_Pop_Count_Sampling[[#This Row],[Est. Pop Count (pcs)]]/T3_Pop_Count_Sampling[[#This Row],[Total Stocked (pcs)]]*100</f>
        <v>74.130855163705746</v>
      </c>
      <c r="G23" s="2">
        <f>T3_Pop_Count_Sampling[[#This Row],[Est. Pop Count (pcs)]]*T3_Pop_Count_Sampling[[#This Row],[ABW (g)]]/1000</f>
        <v>17593.069099999997</v>
      </c>
    </row>
    <row r="24" spans="1:7" ht="24" hidden="1" customHeight="1" x14ac:dyDescent="0.25">
      <c r="A24" t="s">
        <v>10</v>
      </c>
      <c r="B24" s="2">
        <v>4379397</v>
      </c>
      <c r="C24">
        <v>14</v>
      </c>
      <c r="D24">
        <v>4.9000000000000004</v>
      </c>
      <c r="E24" s="2">
        <v>3237188</v>
      </c>
      <c r="F24" s="1">
        <f>T3_Pop_Count_Sampling[[#This Row],[Est. Pop Count (pcs)]]/T3_Pop_Count_Sampling[[#This Row],[Total Stocked (pcs)]]*100</f>
        <v>73.918578288289467</v>
      </c>
      <c r="G24" s="2">
        <f>T3_Pop_Count_Sampling[[#This Row],[Est. Pop Count (pcs)]]*T3_Pop_Count_Sampling[[#This Row],[ABW (g)]]/1000</f>
        <v>15862.221200000002</v>
      </c>
    </row>
    <row r="25" spans="1:7" ht="24" hidden="1" customHeight="1" x14ac:dyDescent="0.25">
      <c r="A25" t="s">
        <v>11</v>
      </c>
      <c r="B25" s="2">
        <v>4319396</v>
      </c>
      <c r="C25">
        <v>14</v>
      </c>
      <c r="D25">
        <v>6.01</v>
      </c>
      <c r="E25" s="2">
        <v>2329789</v>
      </c>
      <c r="F25" s="1">
        <f>T3_Pop_Count_Sampling[[#This Row],[Est. Pop Count (pcs)]]/T3_Pop_Count_Sampling[[#This Row],[Total Stocked (pcs)]]*100</f>
        <v>53.937842235349578</v>
      </c>
      <c r="G25" s="2">
        <f>T3_Pop_Count_Sampling[[#This Row],[Est. Pop Count (pcs)]]*T3_Pop_Count_Sampling[[#This Row],[ABW (g)]]/1000</f>
        <v>14002.031889999998</v>
      </c>
    </row>
    <row r="26" spans="1:7" ht="24" hidden="1" customHeight="1" x14ac:dyDescent="0.25">
      <c r="A26" t="s">
        <v>12</v>
      </c>
      <c r="B26" s="2">
        <v>4120208</v>
      </c>
      <c r="C26">
        <v>14</v>
      </c>
      <c r="D26">
        <v>5.96</v>
      </c>
      <c r="E26" s="2">
        <v>3061469</v>
      </c>
      <c r="F26" s="1">
        <f>T3_Pop_Count_Sampling[[#This Row],[Est. Pop Count (pcs)]]/T3_Pop_Count_Sampling[[#This Row],[Total Stocked (pcs)]]*100</f>
        <v>74.30374874278192</v>
      </c>
      <c r="G26" s="2">
        <f>T3_Pop_Count_Sampling[[#This Row],[Est. Pop Count (pcs)]]*T3_Pop_Count_Sampling[[#This Row],[ABW (g)]]/1000</f>
        <v>18246.355239999997</v>
      </c>
    </row>
    <row r="27" spans="1:7" ht="24" hidden="1" customHeight="1" x14ac:dyDescent="0.25">
      <c r="A27" t="s">
        <v>14</v>
      </c>
      <c r="B27" s="2">
        <v>4120198</v>
      </c>
      <c r="C27">
        <v>14</v>
      </c>
      <c r="D27">
        <v>6.39</v>
      </c>
      <c r="E27" s="2">
        <v>2028932</v>
      </c>
      <c r="F27" s="1">
        <f>T3_Pop_Count_Sampling[[#This Row],[Est. Pop Count (pcs)]]/T3_Pop_Count_Sampling[[#This Row],[Total Stocked (pcs)]]*100</f>
        <v>49.243555770863438</v>
      </c>
      <c r="G27" s="2">
        <f>T3_Pop_Count_Sampling[[#This Row],[Est. Pop Count (pcs)]]*T3_Pop_Count_Sampling[[#This Row],[ABW (g)]]/1000</f>
        <v>12964.875479999999</v>
      </c>
    </row>
    <row r="28" spans="1:7" ht="24" hidden="1" customHeight="1" x14ac:dyDescent="0.25">
      <c r="A28" t="s">
        <v>15</v>
      </c>
      <c r="B28" s="2">
        <v>4076138</v>
      </c>
      <c r="C28">
        <v>14</v>
      </c>
      <c r="D28">
        <v>5.05</v>
      </c>
      <c r="E28" s="2">
        <v>1914623</v>
      </c>
      <c r="F28" s="1">
        <f>T3_Pop_Count_Sampling[[#This Row],[Est. Pop Count (pcs)]]/T3_Pop_Count_Sampling[[#This Row],[Total Stocked (pcs)]]*100</f>
        <v>46.971496058278696</v>
      </c>
      <c r="G28" s="2">
        <f>T3_Pop_Count_Sampling[[#This Row],[Est. Pop Count (pcs)]]*T3_Pop_Count_Sampling[[#This Row],[ABW (g)]]/1000</f>
        <v>9668.8461500000012</v>
      </c>
    </row>
    <row r="29" spans="1:7" ht="24" hidden="1" customHeight="1" x14ac:dyDescent="0.25">
      <c r="A29" t="s">
        <v>16</v>
      </c>
      <c r="B29" s="2">
        <v>4439779</v>
      </c>
      <c r="C29">
        <v>14</v>
      </c>
      <c r="D29">
        <v>6.18</v>
      </c>
      <c r="E29" s="2">
        <v>2315824</v>
      </c>
      <c r="F29" s="1">
        <f>T3_Pop_Count_Sampling[[#This Row],[Est. Pop Count (pcs)]]/T3_Pop_Count_Sampling[[#This Row],[Total Stocked (pcs)]]*100</f>
        <v>52.160794489996007</v>
      </c>
      <c r="G29" s="2">
        <f>T3_Pop_Count_Sampling[[#This Row],[Est. Pop Count (pcs)]]*T3_Pop_Count_Sampling[[#This Row],[ABW (g)]]/1000</f>
        <v>14311.792319999999</v>
      </c>
    </row>
    <row r="30" spans="1:7" ht="24" hidden="1" customHeight="1" x14ac:dyDescent="0.25">
      <c r="A30" t="s">
        <v>17</v>
      </c>
      <c r="B30" s="2">
        <v>4320502</v>
      </c>
      <c r="C30">
        <v>14</v>
      </c>
      <c r="D30">
        <v>5.88</v>
      </c>
      <c r="E30" s="2">
        <v>3182044</v>
      </c>
      <c r="F30" s="1">
        <f>T3_Pop_Count_Sampling[[#This Row],[Est. Pop Count (pcs)]]/T3_Pop_Count_Sampling[[#This Row],[Total Stocked (pcs)]]*100</f>
        <v>73.649867538540661</v>
      </c>
      <c r="G30" s="2">
        <f>T3_Pop_Count_Sampling[[#This Row],[Est. Pop Count (pcs)]]*T3_Pop_Count_Sampling[[#This Row],[ABW (g)]]/1000</f>
        <v>18710.418719999998</v>
      </c>
    </row>
    <row r="31" spans="1:7" ht="24" hidden="1" customHeight="1" x14ac:dyDescent="0.25">
      <c r="A31" t="s">
        <v>18</v>
      </c>
      <c r="B31" s="2">
        <v>4368633</v>
      </c>
      <c r="C31">
        <v>14</v>
      </c>
      <c r="D31">
        <v>4.33</v>
      </c>
      <c r="E31" s="2">
        <v>3232163</v>
      </c>
      <c r="F31" s="1">
        <f>T3_Pop_Count_Sampling[[#This Row],[Est. Pop Count (pcs)]]/T3_Pop_Count_Sampling[[#This Row],[Total Stocked (pcs)]]*100</f>
        <v>73.98568385121844</v>
      </c>
      <c r="G31" s="2">
        <f>T3_Pop_Count_Sampling[[#This Row],[Est. Pop Count (pcs)]]*T3_Pop_Count_Sampling[[#This Row],[ABW (g)]]/1000</f>
        <v>13995.265790000001</v>
      </c>
    </row>
    <row r="32" spans="1:7" ht="24" hidden="1" customHeight="1" x14ac:dyDescent="0.25">
      <c r="A32" t="s">
        <v>20</v>
      </c>
      <c r="B32" s="2">
        <v>4059263</v>
      </c>
      <c r="C32">
        <v>14</v>
      </c>
      <c r="D32">
        <v>6.35</v>
      </c>
      <c r="E32" s="2">
        <v>2133384</v>
      </c>
      <c r="F32" s="1">
        <f>T3_Pop_Count_Sampling[[#This Row],[Est. Pop Count (pcs)]]/T3_Pop_Count_Sampling[[#This Row],[Total Stocked (pcs)]]*100</f>
        <v>52.555944268700991</v>
      </c>
      <c r="G32" s="2">
        <f>T3_Pop_Count_Sampling[[#This Row],[Est. Pop Count (pcs)]]*T3_Pop_Count_Sampling[[#This Row],[ABW (g)]]/1000</f>
        <v>13546.988399999998</v>
      </c>
    </row>
    <row r="33" spans="1:7" ht="24" hidden="1" customHeight="1" x14ac:dyDescent="0.25">
      <c r="A33" t="s">
        <v>21</v>
      </c>
      <c r="B33" s="2">
        <v>4486459</v>
      </c>
      <c r="C33">
        <v>14</v>
      </c>
      <c r="D33">
        <v>5.18</v>
      </c>
      <c r="E33" s="2">
        <v>3344511</v>
      </c>
      <c r="F33" s="1">
        <f>T3_Pop_Count_Sampling[[#This Row],[Est. Pop Count (pcs)]]/T3_Pop_Count_Sampling[[#This Row],[Total Stocked (pcs)]]*100</f>
        <v>74.546786229407203</v>
      </c>
      <c r="G33" s="2">
        <f>T3_Pop_Count_Sampling[[#This Row],[Est. Pop Count (pcs)]]*T3_Pop_Count_Sampling[[#This Row],[ABW (g)]]/1000</f>
        <v>17324.56698</v>
      </c>
    </row>
    <row r="34" spans="1:7" ht="24" hidden="1" customHeight="1" x14ac:dyDescent="0.25">
      <c r="A34" t="s">
        <v>22</v>
      </c>
      <c r="B34" s="2">
        <v>4424599</v>
      </c>
      <c r="C34">
        <v>14</v>
      </c>
      <c r="D34">
        <v>5.81</v>
      </c>
      <c r="E34" s="2">
        <v>3294426</v>
      </c>
      <c r="F34" s="1">
        <f>T3_Pop_Count_Sampling[[#This Row],[Est. Pop Count (pcs)]]/T3_Pop_Count_Sampling[[#This Row],[Total Stocked (pcs)]]*100</f>
        <v>74.457052492214544</v>
      </c>
      <c r="G34" s="2">
        <f>T3_Pop_Count_Sampling[[#This Row],[Est. Pop Count (pcs)]]*T3_Pop_Count_Sampling[[#This Row],[ABW (g)]]/1000</f>
        <v>19140.61506</v>
      </c>
    </row>
    <row r="35" spans="1:7" ht="24" hidden="1" customHeight="1" x14ac:dyDescent="0.25">
      <c r="A35" t="s">
        <v>23</v>
      </c>
      <c r="B35" s="2">
        <v>4145553</v>
      </c>
      <c r="C35">
        <v>14</v>
      </c>
      <c r="D35">
        <v>7.43</v>
      </c>
      <c r="E35" s="2">
        <v>1784665</v>
      </c>
      <c r="F35" s="1">
        <f>T3_Pop_Count_Sampling[[#This Row],[Est. Pop Count (pcs)]]/T3_Pop_Count_Sampling[[#This Row],[Total Stocked (pcs)]]*100</f>
        <v>43.050106945924952</v>
      </c>
      <c r="G35" s="2">
        <f>T3_Pop_Count_Sampling[[#This Row],[Est. Pop Count (pcs)]]*T3_Pop_Count_Sampling[[#This Row],[ABW (g)]]/1000</f>
        <v>13260.060949999999</v>
      </c>
    </row>
    <row r="36" spans="1:7" ht="24" hidden="1" customHeight="1" x14ac:dyDescent="0.25">
      <c r="A36" t="s">
        <v>24</v>
      </c>
      <c r="B36" s="2">
        <v>4131821</v>
      </c>
      <c r="C36">
        <v>14</v>
      </c>
      <c r="D36">
        <v>7.04</v>
      </c>
      <c r="E36" s="2">
        <v>3069856</v>
      </c>
      <c r="F36" s="1">
        <f>T3_Pop_Count_Sampling[[#This Row],[Est. Pop Count (pcs)]]/T3_Pop_Count_Sampling[[#This Row],[Total Stocked (pcs)]]*100</f>
        <v>74.297894318267893</v>
      </c>
      <c r="G36" s="2">
        <f>T3_Pop_Count_Sampling[[#This Row],[Est. Pop Count (pcs)]]*T3_Pop_Count_Sampling[[#This Row],[ABW (g)]]/1000</f>
        <v>21611.786239999998</v>
      </c>
    </row>
    <row r="37" spans="1:7" ht="24" hidden="1" customHeight="1" x14ac:dyDescent="0.25">
      <c r="A37" t="s">
        <v>26</v>
      </c>
      <c r="B37" s="2">
        <v>4132532</v>
      </c>
      <c r="C37">
        <v>14</v>
      </c>
      <c r="D37">
        <v>7.23</v>
      </c>
      <c r="E37" s="2">
        <v>3066197</v>
      </c>
      <c r="F37" s="1">
        <f>T3_Pop_Count_Sampling[[#This Row],[Est. Pop Count (pcs)]]/T3_Pop_Count_Sampling[[#This Row],[Total Stocked (pcs)]]*100</f>
        <v>74.196570044708665</v>
      </c>
      <c r="G37" s="2">
        <f>T3_Pop_Count_Sampling[[#This Row],[Est. Pop Count (pcs)]]*T3_Pop_Count_Sampling[[#This Row],[ABW (g)]]/1000</f>
        <v>22168.604310000002</v>
      </c>
    </row>
    <row r="38" spans="1:7" ht="24" hidden="1" customHeight="1" x14ac:dyDescent="0.25">
      <c r="A38" t="s">
        <v>27</v>
      </c>
      <c r="B38" s="2">
        <v>4186909</v>
      </c>
      <c r="C38">
        <v>14</v>
      </c>
      <c r="D38">
        <v>5.41</v>
      </c>
      <c r="E38" s="2">
        <v>3088826</v>
      </c>
      <c r="F38" s="1">
        <f>T3_Pop_Count_Sampling[[#This Row],[Est. Pop Count (pcs)]]/T3_Pop_Count_Sampling[[#This Row],[Total Stocked (pcs)]]*100</f>
        <v>73.773420917435743</v>
      </c>
      <c r="G38" s="2">
        <f>T3_Pop_Count_Sampling[[#This Row],[Est. Pop Count (pcs)]]*T3_Pop_Count_Sampling[[#This Row],[ABW (g)]]/1000</f>
        <v>16710.54866</v>
      </c>
    </row>
    <row r="39" spans="1:7" ht="24" hidden="1" customHeight="1" x14ac:dyDescent="0.25">
      <c r="A39" t="s">
        <v>28</v>
      </c>
      <c r="B39" s="2">
        <v>4286140</v>
      </c>
      <c r="C39">
        <v>14</v>
      </c>
      <c r="D39">
        <v>4.54</v>
      </c>
      <c r="E39" s="2">
        <v>3185952</v>
      </c>
      <c r="F39" s="1">
        <f>T3_Pop_Count_Sampling[[#This Row],[Est. Pop Count (pcs)]]/T3_Pop_Count_Sampling[[#This Row],[Total Stocked (pcs)]]*100</f>
        <v>74.331496404690469</v>
      </c>
      <c r="G39" s="2">
        <f>T3_Pop_Count_Sampling[[#This Row],[Est. Pop Count (pcs)]]*T3_Pop_Count_Sampling[[#This Row],[ABW (g)]]/1000</f>
        <v>14464.22208</v>
      </c>
    </row>
    <row r="40" spans="1:7" ht="24" hidden="1" customHeight="1" x14ac:dyDescent="0.25">
      <c r="A40" t="s">
        <v>29</v>
      </c>
      <c r="B40" s="2">
        <v>4244375</v>
      </c>
      <c r="C40">
        <v>14</v>
      </c>
      <c r="D40">
        <v>6.21</v>
      </c>
      <c r="E40" s="2">
        <v>2347243</v>
      </c>
      <c r="F40" s="1">
        <f>T3_Pop_Count_Sampling[[#This Row],[Est. Pop Count (pcs)]]/T3_Pop_Count_Sampling[[#This Row],[Total Stocked (pcs)]]*100</f>
        <v>55.302441466647032</v>
      </c>
      <c r="G40" s="2">
        <f>T3_Pop_Count_Sampling[[#This Row],[Est. Pop Count (pcs)]]*T3_Pop_Count_Sampling[[#This Row],[ABW (g)]]/1000</f>
        <v>14576.37903</v>
      </c>
    </row>
    <row r="41" spans="1:7" ht="24" hidden="1" customHeight="1" x14ac:dyDescent="0.25">
      <c r="A41" t="s">
        <v>30</v>
      </c>
      <c r="B41" s="2">
        <v>4181053</v>
      </c>
      <c r="C41">
        <v>14</v>
      </c>
      <c r="D41">
        <v>5.66</v>
      </c>
      <c r="E41" s="2">
        <v>3100549</v>
      </c>
      <c r="F41" s="1">
        <f>T3_Pop_Count_Sampling[[#This Row],[Est. Pop Count (pcs)]]/T3_Pop_Count_Sampling[[#This Row],[Total Stocked (pcs)]]*100</f>
        <v>74.157132186556822</v>
      </c>
      <c r="G41" s="2">
        <f>T3_Pop_Count_Sampling[[#This Row],[Est. Pop Count (pcs)]]*T3_Pop_Count_Sampling[[#This Row],[ABW (g)]]/1000</f>
        <v>17549.107339999999</v>
      </c>
    </row>
    <row r="42" spans="1:7" ht="24" hidden="1" customHeight="1" x14ac:dyDescent="0.25">
      <c r="A42" t="s">
        <v>8</v>
      </c>
      <c r="B42" s="2">
        <v>4218543</v>
      </c>
      <c r="C42">
        <v>21</v>
      </c>
      <c r="D42">
        <v>6.69</v>
      </c>
      <c r="E42" s="2">
        <v>3113041</v>
      </c>
      <c r="F42" s="1">
        <f>T3_Pop_Count_Sampling[[#This Row],[Est. Pop Count (pcs)]]/T3_Pop_Count_Sampling[[#This Row],[Total Stocked (pcs)]]*100</f>
        <v>73.794222317989892</v>
      </c>
      <c r="G42" s="2">
        <f>T3_Pop_Count_Sampling[[#This Row],[Est. Pop Count (pcs)]]*T3_Pop_Count_Sampling[[#This Row],[ABW (g)]]/1000</f>
        <v>20826.244290000002</v>
      </c>
    </row>
    <row r="43" spans="1:7" ht="24" hidden="1" customHeight="1" x14ac:dyDescent="0.25">
      <c r="A43" t="s">
        <v>9</v>
      </c>
      <c r="B43" s="2">
        <v>4477821</v>
      </c>
      <c r="C43">
        <v>21</v>
      </c>
      <c r="D43">
        <v>6.87</v>
      </c>
      <c r="E43" s="2">
        <v>3315556</v>
      </c>
      <c r="F43" s="1">
        <f>T3_Pop_Count_Sampling[[#This Row],[Est. Pop Count (pcs)]]/T3_Pop_Count_Sampling[[#This Row],[Total Stocked (pcs)]]*100</f>
        <v>74.043960220830613</v>
      </c>
      <c r="G43" s="2">
        <f>T3_Pop_Count_Sampling[[#This Row],[Est. Pop Count (pcs)]]*T3_Pop_Count_Sampling[[#This Row],[ABW (g)]]/1000</f>
        <v>22777.869719999999</v>
      </c>
    </row>
    <row r="44" spans="1:7" ht="24" hidden="1" customHeight="1" x14ac:dyDescent="0.25">
      <c r="A44" t="s">
        <v>10</v>
      </c>
      <c r="B44" s="2">
        <v>4379397</v>
      </c>
      <c r="C44">
        <v>21</v>
      </c>
      <c r="D44">
        <v>6.47</v>
      </c>
      <c r="E44" s="2">
        <v>3228696</v>
      </c>
      <c r="F44" s="1">
        <f>T3_Pop_Count_Sampling[[#This Row],[Est. Pop Count (pcs)]]/T3_Pop_Count_Sampling[[#This Row],[Total Stocked (pcs)]]*100</f>
        <v>73.724670314200793</v>
      </c>
      <c r="G44" s="2">
        <f>T3_Pop_Count_Sampling[[#This Row],[Est. Pop Count (pcs)]]*T3_Pop_Count_Sampling[[#This Row],[ABW (g)]]/1000</f>
        <v>20889.663120000001</v>
      </c>
    </row>
    <row r="45" spans="1:7" ht="24" hidden="1" customHeight="1" x14ac:dyDescent="0.25">
      <c r="A45" t="s">
        <v>11</v>
      </c>
      <c r="B45" s="2">
        <v>4319396</v>
      </c>
      <c r="C45">
        <v>21</v>
      </c>
      <c r="D45">
        <v>7.49</v>
      </c>
      <c r="E45" s="2">
        <v>2289333</v>
      </c>
      <c r="F45" s="1">
        <f>T3_Pop_Count_Sampling[[#This Row],[Est. Pop Count (pcs)]]/T3_Pop_Count_Sampling[[#This Row],[Total Stocked (pcs)]]*100</f>
        <v>53.001229801574112</v>
      </c>
      <c r="G45" s="2">
        <f>T3_Pop_Count_Sampling[[#This Row],[Est. Pop Count (pcs)]]*T3_Pop_Count_Sampling[[#This Row],[ABW (g)]]/1000</f>
        <v>17147.104170000002</v>
      </c>
    </row>
    <row r="46" spans="1:7" ht="24" hidden="1" customHeight="1" x14ac:dyDescent="0.25">
      <c r="A46" t="s">
        <v>12</v>
      </c>
      <c r="B46" s="2">
        <v>4120208</v>
      </c>
      <c r="C46">
        <v>21</v>
      </c>
      <c r="D46">
        <v>7.04</v>
      </c>
      <c r="E46" s="2">
        <v>3053116</v>
      </c>
      <c r="F46" s="1">
        <f>T3_Pop_Count_Sampling[[#This Row],[Est. Pop Count (pcs)]]/T3_Pop_Count_Sampling[[#This Row],[Total Stocked (pcs)]]*100</f>
        <v>74.10101625937331</v>
      </c>
      <c r="G46" s="2">
        <f>T3_Pop_Count_Sampling[[#This Row],[Est. Pop Count (pcs)]]*T3_Pop_Count_Sampling[[#This Row],[ABW (g)]]/1000</f>
        <v>21493.93664</v>
      </c>
    </row>
    <row r="47" spans="1:7" ht="24" hidden="1" customHeight="1" x14ac:dyDescent="0.25">
      <c r="A47" t="s">
        <v>14</v>
      </c>
      <c r="B47" s="2">
        <v>4120198</v>
      </c>
      <c r="C47">
        <v>21</v>
      </c>
      <c r="D47">
        <v>8.14</v>
      </c>
      <c r="E47" s="2">
        <v>2017488</v>
      </c>
      <c r="F47" s="1">
        <f>T3_Pop_Count_Sampling[[#This Row],[Est. Pop Count (pcs)]]/T3_Pop_Count_Sampling[[#This Row],[Total Stocked (pcs)]]*100</f>
        <v>48.965802128926818</v>
      </c>
      <c r="G47" s="2">
        <f>T3_Pop_Count_Sampling[[#This Row],[Est. Pop Count (pcs)]]*T3_Pop_Count_Sampling[[#This Row],[ABW (g)]]/1000</f>
        <v>16422.352320000002</v>
      </c>
    </row>
    <row r="48" spans="1:7" ht="24" hidden="1" customHeight="1" x14ac:dyDescent="0.25">
      <c r="A48" t="s">
        <v>15</v>
      </c>
      <c r="B48" s="2">
        <v>4076138</v>
      </c>
      <c r="C48">
        <v>21</v>
      </c>
      <c r="D48">
        <v>6.34</v>
      </c>
      <c r="E48" s="2">
        <v>1897271</v>
      </c>
      <c r="F48" s="1">
        <f>T3_Pop_Count_Sampling[[#This Row],[Est. Pop Count (pcs)]]/T3_Pop_Count_Sampling[[#This Row],[Total Stocked (pcs)]]*100</f>
        <v>46.54579898914119</v>
      </c>
      <c r="G48" s="2">
        <f>T3_Pop_Count_Sampling[[#This Row],[Est. Pop Count (pcs)]]*T3_Pop_Count_Sampling[[#This Row],[ABW (g)]]/1000</f>
        <v>12028.69814</v>
      </c>
    </row>
    <row r="49" spans="1:7" ht="24" hidden="1" customHeight="1" x14ac:dyDescent="0.25">
      <c r="A49" t="s">
        <v>16</v>
      </c>
      <c r="B49" s="2">
        <v>4439779</v>
      </c>
      <c r="C49">
        <v>21</v>
      </c>
      <c r="D49">
        <v>7.34</v>
      </c>
      <c r="E49" s="2">
        <v>2308993</v>
      </c>
      <c r="F49" s="1">
        <f>T3_Pop_Count_Sampling[[#This Row],[Est. Pop Count (pcs)]]/T3_Pop_Count_Sampling[[#This Row],[Total Stocked (pcs)]]*100</f>
        <v>52.006935480347103</v>
      </c>
      <c r="G49" s="2">
        <f>T3_Pop_Count_Sampling[[#This Row],[Est. Pop Count (pcs)]]*T3_Pop_Count_Sampling[[#This Row],[ABW (g)]]/1000</f>
        <v>16948.008620000001</v>
      </c>
    </row>
    <row r="50" spans="1:7" ht="24" hidden="1" customHeight="1" x14ac:dyDescent="0.25">
      <c r="A50" t="s">
        <v>17</v>
      </c>
      <c r="B50" s="2">
        <v>4320502</v>
      </c>
      <c r="C50">
        <v>21</v>
      </c>
      <c r="D50">
        <v>6.92</v>
      </c>
      <c r="E50" s="2">
        <v>3172527</v>
      </c>
      <c r="F50" s="1">
        <f>T3_Pop_Count_Sampling[[#This Row],[Est. Pop Count (pcs)]]/T3_Pop_Count_Sampling[[#This Row],[Total Stocked (pcs)]]*100</f>
        <v>73.429592209423816</v>
      </c>
      <c r="G50" s="2">
        <f>T3_Pop_Count_Sampling[[#This Row],[Est. Pop Count (pcs)]]*T3_Pop_Count_Sampling[[#This Row],[ABW (g)]]/1000</f>
        <v>21953.886839999999</v>
      </c>
    </row>
    <row r="51" spans="1:7" ht="24" hidden="1" customHeight="1" x14ac:dyDescent="0.25">
      <c r="A51" t="s">
        <v>18</v>
      </c>
      <c r="B51" s="2">
        <v>4368633</v>
      </c>
      <c r="C51">
        <v>21</v>
      </c>
      <c r="D51">
        <v>5.86</v>
      </c>
      <c r="E51" s="2">
        <v>3221662</v>
      </c>
      <c r="F51" s="1">
        <f>T3_Pop_Count_Sampling[[#This Row],[Est. Pop Count (pcs)]]/T3_Pop_Count_Sampling[[#This Row],[Total Stocked (pcs)]]*100</f>
        <v>73.745311176287871</v>
      </c>
      <c r="G51" s="2">
        <f>T3_Pop_Count_Sampling[[#This Row],[Est. Pop Count (pcs)]]*T3_Pop_Count_Sampling[[#This Row],[ABW (g)]]/1000</f>
        <v>18878.939320000001</v>
      </c>
    </row>
    <row r="52" spans="1:7" ht="24" hidden="1" customHeight="1" x14ac:dyDescent="0.25">
      <c r="A52" t="s">
        <v>20</v>
      </c>
      <c r="B52" s="2">
        <v>4059263</v>
      </c>
      <c r="C52">
        <v>21</v>
      </c>
      <c r="D52">
        <v>7.96</v>
      </c>
      <c r="E52" s="2">
        <v>2081353</v>
      </c>
      <c r="F52" s="1">
        <f>T3_Pop_Count_Sampling[[#This Row],[Est. Pop Count (pcs)]]/T3_Pop_Count_Sampling[[#This Row],[Total Stocked (pcs)]]*100</f>
        <v>51.274159865965821</v>
      </c>
      <c r="G52" s="2">
        <f>T3_Pop_Count_Sampling[[#This Row],[Est. Pop Count (pcs)]]*T3_Pop_Count_Sampling[[#This Row],[ABW (g)]]/1000</f>
        <v>16567.569879999999</v>
      </c>
    </row>
    <row r="53" spans="1:7" ht="24" hidden="1" customHeight="1" x14ac:dyDescent="0.25">
      <c r="A53" t="s">
        <v>21</v>
      </c>
      <c r="B53" s="2">
        <v>4486459</v>
      </c>
      <c r="C53">
        <v>21</v>
      </c>
      <c r="D53">
        <v>6.2</v>
      </c>
      <c r="E53" s="2">
        <v>3327159</v>
      </c>
      <c r="F53" s="1">
        <f>T3_Pop_Count_Sampling[[#This Row],[Est. Pop Count (pcs)]]/T3_Pop_Count_Sampling[[#This Row],[Total Stocked (pcs)]]*100</f>
        <v>74.160022414113229</v>
      </c>
      <c r="G53" s="2">
        <f>T3_Pop_Count_Sampling[[#This Row],[Est. Pop Count (pcs)]]*T3_Pop_Count_Sampling[[#This Row],[ABW (g)]]/1000</f>
        <v>20628.3858</v>
      </c>
    </row>
    <row r="54" spans="1:7" ht="24" hidden="1" customHeight="1" x14ac:dyDescent="0.25">
      <c r="A54" t="s">
        <v>22</v>
      </c>
      <c r="B54" s="2">
        <v>4424599</v>
      </c>
      <c r="C54">
        <v>21</v>
      </c>
      <c r="D54">
        <v>7.27</v>
      </c>
      <c r="E54" s="2">
        <v>3291199</v>
      </c>
      <c r="F54" s="1">
        <f>T3_Pop_Count_Sampling[[#This Row],[Est. Pop Count (pcs)]]/T3_Pop_Count_Sampling[[#This Row],[Total Stocked (pcs)]]*100</f>
        <v>74.384119329231865</v>
      </c>
      <c r="G54" s="2">
        <f>T3_Pop_Count_Sampling[[#This Row],[Est. Pop Count (pcs)]]*T3_Pop_Count_Sampling[[#This Row],[ABW (g)]]/1000</f>
        <v>23927.016729999999</v>
      </c>
    </row>
    <row r="55" spans="1:7" ht="24" hidden="1" customHeight="1" x14ac:dyDescent="0.25">
      <c r="A55" t="s">
        <v>23</v>
      </c>
      <c r="B55" s="2">
        <v>4145553</v>
      </c>
      <c r="C55">
        <v>21</v>
      </c>
      <c r="D55">
        <v>8.6300000000000008</v>
      </c>
      <c r="E55" s="2">
        <v>1769583</v>
      </c>
      <c r="F55" s="1">
        <f>T3_Pop_Count_Sampling[[#This Row],[Est. Pop Count (pcs)]]/T3_Pop_Count_Sampling[[#This Row],[Total Stocked (pcs)]]*100</f>
        <v>42.686295411010306</v>
      </c>
      <c r="G55" s="2">
        <f>T3_Pop_Count_Sampling[[#This Row],[Est. Pop Count (pcs)]]*T3_Pop_Count_Sampling[[#This Row],[ABW (g)]]/1000</f>
        <v>15271.50129</v>
      </c>
    </row>
    <row r="56" spans="1:7" ht="24" hidden="1" customHeight="1" x14ac:dyDescent="0.25">
      <c r="A56" t="s">
        <v>24</v>
      </c>
      <c r="B56" s="2">
        <v>4131821</v>
      </c>
      <c r="C56">
        <v>21</v>
      </c>
      <c r="D56">
        <v>8.6199999999999992</v>
      </c>
      <c r="E56" s="2">
        <v>3053879</v>
      </c>
      <c r="F56" s="1">
        <f>T3_Pop_Count_Sampling[[#This Row],[Est. Pop Count (pcs)]]/T3_Pop_Count_Sampling[[#This Row],[Total Stocked (pcs)]]*100</f>
        <v>73.911212513804443</v>
      </c>
      <c r="G56" s="2">
        <f>T3_Pop_Count_Sampling[[#This Row],[Est. Pop Count (pcs)]]*T3_Pop_Count_Sampling[[#This Row],[ABW (g)]]/1000</f>
        <v>26324.436979999995</v>
      </c>
    </row>
    <row r="57" spans="1:7" ht="24" hidden="1" customHeight="1" x14ac:dyDescent="0.25">
      <c r="A57" t="s">
        <v>26</v>
      </c>
      <c r="B57" s="2">
        <v>4132532</v>
      </c>
      <c r="C57">
        <v>21</v>
      </c>
      <c r="D57">
        <v>8.39</v>
      </c>
      <c r="E57" s="2">
        <v>3060517</v>
      </c>
      <c r="F57" s="1">
        <f>T3_Pop_Count_Sampling[[#This Row],[Est. Pop Count (pcs)]]/T3_Pop_Count_Sampling[[#This Row],[Total Stocked (pcs)]]*100</f>
        <v>74.059124043080615</v>
      </c>
      <c r="G57" s="2">
        <f>T3_Pop_Count_Sampling[[#This Row],[Est. Pop Count (pcs)]]*T3_Pop_Count_Sampling[[#This Row],[ABW (g)]]/1000</f>
        <v>25677.737630000003</v>
      </c>
    </row>
    <row r="58" spans="1:7" ht="24" hidden="1" customHeight="1" x14ac:dyDescent="0.25">
      <c r="A58" t="s">
        <v>27</v>
      </c>
      <c r="B58" s="2">
        <v>4186909</v>
      </c>
      <c r="C58">
        <v>21</v>
      </c>
      <c r="D58">
        <v>7.03</v>
      </c>
      <c r="E58" s="2">
        <v>3073957</v>
      </c>
      <c r="F58" s="1">
        <f>T3_Pop_Count_Sampling[[#This Row],[Est. Pop Count (pcs)]]/T3_Pop_Count_Sampling[[#This Row],[Total Stocked (pcs)]]*100</f>
        <v>73.418290199285437</v>
      </c>
      <c r="G58" s="2">
        <f>T3_Pop_Count_Sampling[[#This Row],[Est. Pop Count (pcs)]]*T3_Pop_Count_Sampling[[#This Row],[ABW (g)]]/1000</f>
        <v>21609.917710000002</v>
      </c>
    </row>
    <row r="59" spans="1:7" ht="24" hidden="1" customHeight="1" x14ac:dyDescent="0.25">
      <c r="A59" t="s">
        <v>28</v>
      </c>
      <c r="B59" s="2">
        <v>4286140</v>
      </c>
      <c r="C59">
        <v>21</v>
      </c>
      <c r="D59">
        <v>5.89</v>
      </c>
      <c r="E59" s="2">
        <v>3177681</v>
      </c>
      <c r="F59" s="1">
        <f>T3_Pop_Count_Sampling[[#This Row],[Est. Pop Count (pcs)]]/T3_Pop_Count_Sampling[[#This Row],[Total Stocked (pcs)]]*100</f>
        <v>74.138525573126401</v>
      </c>
      <c r="G59" s="2">
        <f>T3_Pop_Count_Sampling[[#This Row],[Est. Pop Count (pcs)]]*T3_Pop_Count_Sampling[[#This Row],[ABW (g)]]/1000</f>
        <v>18716.541089999999</v>
      </c>
    </row>
    <row r="60" spans="1:7" ht="24" hidden="1" customHeight="1" x14ac:dyDescent="0.25">
      <c r="A60" t="s">
        <v>29</v>
      </c>
      <c r="B60" s="2">
        <v>4244375</v>
      </c>
      <c r="C60">
        <v>21</v>
      </c>
      <c r="D60">
        <v>8.06</v>
      </c>
      <c r="E60" s="2">
        <v>2298185</v>
      </c>
      <c r="F60" s="1">
        <f>T3_Pop_Count_Sampling[[#This Row],[Est. Pop Count (pcs)]]/T3_Pop_Count_Sampling[[#This Row],[Total Stocked (pcs)]]*100</f>
        <v>54.146605801796497</v>
      </c>
      <c r="G60" s="2">
        <f>T3_Pop_Count_Sampling[[#This Row],[Est. Pop Count (pcs)]]*T3_Pop_Count_Sampling[[#This Row],[ABW (g)]]/1000</f>
        <v>18523.3711</v>
      </c>
    </row>
    <row r="61" spans="1:7" ht="24" hidden="1" customHeight="1" x14ac:dyDescent="0.25">
      <c r="A61" t="s">
        <v>30</v>
      </c>
      <c r="B61" s="2">
        <v>4181053</v>
      </c>
      <c r="C61">
        <v>21</v>
      </c>
      <c r="D61">
        <v>6.78</v>
      </c>
      <c r="E61" s="2">
        <v>3084871</v>
      </c>
      <c r="F61" s="1">
        <f>T3_Pop_Count_Sampling[[#This Row],[Est. Pop Count (pcs)]]/T3_Pop_Count_Sampling[[#This Row],[Total Stocked (pcs)]]*100</f>
        <v>73.7821548782089</v>
      </c>
      <c r="G61" s="2">
        <f>T3_Pop_Count_Sampling[[#This Row],[Est. Pop Count (pcs)]]*T3_Pop_Count_Sampling[[#This Row],[ABW (g)]]/1000</f>
        <v>20915.425380000001</v>
      </c>
    </row>
    <row r="62" spans="1:7" ht="24" hidden="1" customHeight="1" x14ac:dyDescent="0.25">
      <c r="A62" t="s">
        <v>8</v>
      </c>
      <c r="B62" s="2">
        <v>4218543</v>
      </c>
      <c r="C62">
        <v>28</v>
      </c>
      <c r="D62">
        <v>8.2799999999999994</v>
      </c>
      <c r="E62" s="2">
        <v>3097974</v>
      </c>
      <c r="F62" s="1">
        <f>T3_Pop_Count_Sampling[[#This Row],[Est. Pop Count (pcs)]]/T3_Pop_Count_Sampling[[#This Row],[Total Stocked (pcs)]]*100</f>
        <v>73.437061089575238</v>
      </c>
      <c r="G62" s="2">
        <f>T3_Pop_Count_Sampling[[#This Row],[Est. Pop Count (pcs)]]*T3_Pop_Count_Sampling[[#This Row],[ABW (g)]]/1000</f>
        <v>25651.224719999998</v>
      </c>
    </row>
    <row r="63" spans="1:7" ht="24" hidden="1" customHeight="1" x14ac:dyDescent="0.25">
      <c r="A63" t="s">
        <v>9</v>
      </c>
      <c r="B63" s="2">
        <v>4477821</v>
      </c>
      <c r="C63">
        <v>28</v>
      </c>
      <c r="D63">
        <v>8.3800000000000008</v>
      </c>
      <c r="E63" s="2">
        <v>3308873</v>
      </c>
      <c r="F63" s="1">
        <f>T3_Pop_Count_Sampling[[#This Row],[Est. Pop Count (pcs)]]/T3_Pop_Count_Sampling[[#This Row],[Total Stocked (pcs)]]*100</f>
        <v>73.89471352249231</v>
      </c>
      <c r="G63" s="2">
        <f>T3_Pop_Count_Sampling[[#This Row],[Est. Pop Count (pcs)]]*T3_Pop_Count_Sampling[[#This Row],[ABW (g)]]/1000</f>
        <v>27728.355740000003</v>
      </c>
    </row>
    <row r="64" spans="1:7" ht="24" hidden="1" customHeight="1" x14ac:dyDescent="0.25">
      <c r="A64" t="s">
        <v>10</v>
      </c>
      <c r="B64" s="2">
        <v>4379397</v>
      </c>
      <c r="C64">
        <v>28</v>
      </c>
      <c r="D64">
        <v>7.55</v>
      </c>
      <c r="E64" s="2">
        <v>3225328</v>
      </c>
      <c r="F64" s="1">
        <f>T3_Pop_Count_Sampling[[#This Row],[Est. Pop Count (pcs)]]/T3_Pop_Count_Sampling[[#This Row],[Total Stocked (pcs)]]*100</f>
        <v>73.647764749347914</v>
      </c>
      <c r="G64" s="2">
        <f>T3_Pop_Count_Sampling[[#This Row],[Est. Pop Count (pcs)]]*T3_Pop_Count_Sampling[[#This Row],[ABW (g)]]/1000</f>
        <v>24351.2264</v>
      </c>
    </row>
    <row r="65" spans="1:7" ht="24" hidden="1" customHeight="1" x14ac:dyDescent="0.25">
      <c r="A65" t="s">
        <v>11</v>
      </c>
      <c r="B65" s="2">
        <v>4319396</v>
      </c>
      <c r="C65">
        <v>28</v>
      </c>
      <c r="D65">
        <v>8.82</v>
      </c>
      <c r="E65" s="2">
        <v>2232259</v>
      </c>
      <c r="F65" s="1">
        <f>T3_Pop_Count_Sampling[[#This Row],[Est. Pop Count (pcs)]]/T3_Pop_Count_Sampling[[#This Row],[Total Stocked (pcs)]]*100</f>
        <v>51.679887650958612</v>
      </c>
      <c r="G65" s="2">
        <f>T3_Pop_Count_Sampling[[#This Row],[Est. Pop Count (pcs)]]*T3_Pop_Count_Sampling[[#This Row],[ABW (g)]]/1000</f>
        <v>19688.524379999999</v>
      </c>
    </row>
    <row r="66" spans="1:7" ht="24" hidden="1" customHeight="1" x14ac:dyDescent="0.25">
      <c r="A66" t="s">
        <v>12</v>
      </c>
      <c r="B66" s="2">
        <v>4120208</v>
      </c>
      <c r="C66">
        <v>28</v>
      </c>
      <c r="D66">
        <v>8.2799999999999994</v>
      </c>
      <c r="E66" s="2">
        <v>3045919</v>
      </c>
      <c r="F66" s="1">
        <f>T3_Pop_Count_Sampling[[#This Row],[Est. Pop Count (pcs)]]/T3_Pop_Count_Sampling[[#This Row],[Total Stocked (pcs)]]*100</f>
        <v>73.926340611930272</v>
      </c>
      <c r="G66" s="2">
        <f>T3_Pop_Count_Sampling[[#This Row],[Est. Pop Count (pcs)]]*T3_Pop_Count_Sampling[[#This Row],[ABW (g)]]/1000</f>
        <v>25220.209319999998</v>
      </c>
    </row>
    <row r="67" spans="1:7" ht="24" hidden="1" customHeight="1" x14ac:dyDescent="0.25">
      <c r="A67" t="s">
        <v>14</v>
      </c>
      <c r="B67" s="2">
        <v>4120198</v>
      </c>
      <c r="C67">
        <v>28</v>
      </c>
      <c r="D67">
        <v>9.36</v>
      </c>
      <c r="E67" s="2">
        <v>2008765</v>
      </c>
      <c r="F67" s="1">
        <f>T3_Pop_Count_Sampling[[#This Row],[Est. Pop Count (pcs)]]/T3_Pop_Count_Sampling[[#This Row],[Total Stocked (pcs)]]*100</f>
        <v>48.754089002518811</v>
      </c>
      <c r="G67" s="2">
        <f>T3_Pop_Count_Sampling[[#This Row],[Est. Pop Count (pcs)]]*T3_Pop_Count_Sampling[[#This Row],[ABW (g)]]/1000</f>
        <v>18802.040399999998</v>
      </c>
    </row>
    <row r="68" spans="1:7" ht="24" hidden="1" customHeight="1" x14ac:dyDescent="0.25">
      <c r="A68" t="s">
        <v>15</v>
      </c>
      <c r="B68" s="2">
        <v>4076138</v>
      </c>
      <c r="C68">
        <v>28</v>
      </c>
      <c r="D68">
        <v>8.2100000000000009</v>
      </c>
      <c r="E68" s="2">
        <v>1861436</v>
      </c>
      <c r="F68" s="1">
        <f>T3_Pop_Count_Sampling[[#This Row],[Est. Pop Count (pcs)]]/T3_Pop_Count_Sampling[[#This Row],[Total Stocked (pcs)]]*100</f>
        <v>45.66665799833077</v>
      </c>
      <c r="G68" s="2">
        <f>T3_Pop_Count_Sampling[[#This Row],[Est. Pop Count (pcs)]]*T3_Pop_Count_Sampling[[#This Row],[ABW (g)]]/1000</f>
        <v>15282.389560000003</v>
      </c>
    </row>
    <row r="69" spans="1:7" ht="24" hidden="1" customHeight="1" x14ac:dyDescent="0.25">
      <c r="A69" t="s">
        <v>16</v>
      </c>
      <c r="B69" s="2">
        <v>4439779</v>
      </c>
      <c r="C69">
        <v>28</v>
      </c>
      <c r="D69">
        <v>8.6999999999999993</v>
      </c>
      <c r="E69" s="2">
        <v>2283890</v>
      </c>
      <c r="F69" s="1">
        <f>T3_Pop_Count_Sampling[[#This Row],[Est. Pop Count (pcs)]]/T3_Pop_Count_Sampling[[#This Row],[Total Stocked (pcs)]]*100</f>
        <v>51.441524454257745</v>
      </c>
      <c r="G69" s="2">
        <f>T3_Pop_Count_Sampling[[#This Row],[Est. Pop Count (pcs)]]*T3_Pop_Count_Sampling[[#This Row],[ABW (g)]]/1000</f>
        <v>19869.843000000001</v>
      </c>
    </row>
    <row r="70" spans="1:7" ht="24" hidden="1" customHeight="1" x14ac:dyDescent="0.25">
      <c r="A70" t="s">
        <v>17</v>
      </c>
      <c r="B70" s="2">
        <v>4320502</v>
      </c>
      <c r="C70">
        <v>28</v>
      </c>
      <c r="D70">
        <v>8.7200000000000006</v>
      </c>
      <c r="E70" s="2">
        <v>3168765</v>
      </c>
      <c r="F70" s="1">
        <f>T3_Pop_Count_Sampling[[#This Row],[Est. Pop Count (pcs)]]/T3_Pop_Count_Sampling[[#This Row],[Total Stocked (pcs)]]*100</f>
        <v>73.342518994320571</v>
      </c>
      <c r="G70" s="2">
        <f>T3_Pop_Count_Sampling[[#This Row],[Est. Pop Count (pcs)]]*T3_Pop_Count_Sampling[[#This Row],[ABW (g)]]/1000</f>
        <v>27631.630799999999</v>
      </c>
    </row>
    <row r="71" spans="1:7" ht="24" hidden="1" customHeight="1" x14ac:dyDescent="0.25">
      <c r="A71" t="s">
        <v>18</v>
      </c>
      <c r="B71" s="2">
        <v>4368633</v>
      </c>
      <c r="C71">
        <v>28</v>
      </c>
      <c r="D71">
        <v>7.43</v>
      </c>
      <c r="E71" s="2">
        <v>3208456</v>
      </c>
      <c r="F71" s="1">
        <f>T3_Pop_Count_Sampling[[#This Row],[Est. Pop Count (pcs)]]/T3_Pop_Count_Sampling[[#This Row],[Total Stocked (pcs)]]*100</f>
        <v>73.443019818785416</v>
      </c>
      <c r="G71" s="2">
        <f>T3_Pop_Count_Sampling[[#This Row],[Est. Pop Count (pcs)]]*T3_Pop_Count_Sampling[[#This Row],[ABW (g)]]/1000</f>
        <v>23838.828079999999</v>
      </c>
    </row>
    <row r="72" spans="1:7" ht="24" hidden="1" customHeight="1" x14ac:dyDescent="0.25">
      <c r="A72" t="s">
        <v>20</v>
      </c>
      <c r="B72" s="2">
        <v>4059263</v>
      </c>
      <c r="C72">
        <v>28</v>
      </c>
      <c r="D72">
        <v>9.67</v>
      </c>
      <c r="E72" s="2">
        <v>2073795</v>
      </c>
      <c r="F72" s="1">
        <f>T3_Pop_Count_Sampling[[#This Row],[Est. Pop Count (pcs)]]/T3_Pop_Count_Sampling[[#This Row],[Total Stocked (pcs)]]*100</f>
        <v>51.087968431707921</v>
      </c>
      <c r="G72" s="2">
        <f>T3_Pop_Count_Sampling[[#This Row],[Est. Pop Count (pcs)]]*T3_Pop_Count_Sampling[[#This Row],[ABW (g)]]/1000</f>
        <v>20053.59765</v>
      </c>
    </row>
    <row r="73" spans="1:7" ht="24" hidden="1" customHeight="1" x14ac:dyDescent="0.25">
      <c r="A73" t="s">
        <v>21</v>
      </c>
      <c r="B73" s="2">
        <v>4486459</v>
      </c>
      <c r="C73">
        <v>28</v>
      </c>
      <c r="D73">
        <v>7.65</v>
      </c>
      <c r="E73" s="2">
        <v>3312111</v>
      </c>
      <c r="F73" s="1">
        <f>T3_Pop_Count_Sampling[[#This Row],[Est. Pop Count (pcs)]]/T3_Pop_Count_Sampling[[#This Row],[Total Stocked (pcs)]]*100</f>
        <v>73.824613130310567</v>
      </c>
      <c r="G73" s="2">
        <f>T3_Pop_Count_Sampling[[#This Row],[Est. Pop Count (pcs)]]*T3_Pop_Count_Sampling[[#This Row],[ABW (g)]]/1000</f>
        <v>25337.649150000001</v>
      </c>
    </row>
    <row r="74" spans="1:7" ht="24" hidden="1" customHeight="1" x14ac:dyDescent="0.25">
      <c r="A74" t="s">
        <v>22</v>
      </c>
      <c r="B74" s="2">
        <v>4424599</v>
      </c>
      <c r="C74">
        <v>28</v>
      </c>
      <c r="D74">
        <v>8.7899999999999991</v>
      </c>
      <c r="E74" s="2">
        <v>3285570</v>
      </c>
      <c r="F74" s="1">
        <f>T3_Pop_Count_Sampling[[#This Row],[Est. Pop Count (pcs)]]/T3_Pop_Count_Sampling[[#This Row],[Total Stocked (pcs)]]*100</f>
        <v>74.256898760769047</v>
      </c>
      <c r="G74" s="2">
        <f>T3_Pop_Count_Sampling[[#This Row],[Est. Pop Count (pcs)]]*T3_Pop_Count_Sampling[[#This Row],[ABW (g)]]/1000</f>
        <v>28880.160299999996</v>
      </c>
    </row>
    <row r="75" spans="1:7" ht="24" hidden="1" customHeight="1" x14ac:dyDescent="0.25">
      <c r="A75" t="s">
        <v>23</v>
      </c>
      <c r="B75" s="2">
        <v>4145553</v>
      </c>
      <c r="C75">
        <v>28</v>
      </c>
      <c r="D75">
        <v>10.08</v>
      </c>
      <c r="E75" s="2">
        <v>1743786</v>
      </c>
      <c r="F75" s="1">
        <f>T3_Pop_Count_Sampling[[#This Row],[Est. Pop Count (pcs)]]/T3_Pop_Count_Sampling[[#This Row],[Total Stocked (pcs)]]*100</f>
        <v>42.064014137558971</v>
      </c>
      <c r="G75" s="2">
        <f>T3_Pop_Count_Sampling[[#This Row],[Est. Pop Count (pcs)]]*T3_Pop_Count_Sampling[[#This Row],[ABW (g)]]/1000</f>
        <v>17577.362880000001</v>
      </c>
    </row>
    <row r="76" spans="1:7" ht="24" hidden="1" customHeight="1" x14ac:dyDescent="0.25">
      <c r="A76" t="s">
        <v>24</v>
      </c>
      <c r="B76" s="2">
        <v>4131821</v>
      </c>
      <c r="C76">
        <v>28</v>
      </c>
      <c r="D76">
        <v>9.8000000000000007</v>
      </c>
      <c r="E76" s="2">
        <v>3048036</v>
      </c>
      <c r="F76" s="1">
        <f>T3_Pop_Count_Sampling[[#This Row],[Est. Pop Count (pcs)]]/T3_Pop_Count_Sampling[[#This Row],[Total Stocked (pcs)]]*100</f>
        <v>73.769797868784735</v>
      </c>
      <c r="G76" s="2">
        <f>T3_Pop_Count_Sampling[[#This Row],[Est. Pop Count (pcs)]]*T3_Pop_Count_Sampling[[#This Row],[ABW (g)]]/1000</f>
        <v>29870.752800000002</v>
      </c>
    </row>
    <row r="77" spans="1:7" ht="24" hidden="1" customHeight="1" x14ac:dyDescent="0.25">
      <c r="A77" t="s">
        <v>26</v>
      </c>
      <c r="B77" s="2">
        <v>4132532</v>
      </c>
      <c r="C77">
        <v>28</v>
      </c>
      <c r="D77">
        <v>10.039999999999999</v>
      </c>
      <c r="E77" s="2">
        <v>3053307</v>
      </c>
      <c r="F77" s="1">
        <f>T3_Pop_Count_Sampling[[#This Row],[Est. Pop Count (pcs)]]/T3_Pop_Count_Sampling[[#This Row],[Total Stocked (pcs)]]*100</f>
        <v>73.884654734675976</v>
      </c>
      <c r="G77" s="2">
        <f>T3_Pop_Count_Sampling[[#This Row],[Est. Pop Count (pcs)]]*T3_Pop_Count_Sampling[[#This Row],[ABW (g)]]/1000</f>
        <v>30655.202279999998</v>
      </c>
    </row>
    <row r="78" spans="1:7" ht="24" hidden="1" customHeight="1" x14ac:dyDescent="0.25">
      <c r="A78" t="s">
        <v>27</v>
      </c>
      <c r="B78" s="2">
        <v>4186909</v>
      </c>
      <c r="C78">
        <v>28</v>
      </c>
      <c r="D78">
        <v>8.2899999999999991</v>
      </c>
      <c r="E78" s="2">
        <v>3057736</v>
      </c>
      <c r="F78" s="1">
        <f>T3_Pop_Count_Sampling[[#This Row],[Est. Pop Count (pcs)]]/T3_Pop_Count_Sampling[[#This Row],[Total Stocked (pcs)]]*100</f>
        <v>73.030868356584776</v>
      </c>
      <c r="G78" s="2">
        <f>T3_Pop_Count_Sampling[[#This Row],[Est. Pop Count (pcs)]]*T3_Pop_Count_Sampling[[#This Row],[ABW (g)]]/1000</f>
        <v>25348.631439999997</v>
      </c>
    </row>
    <row r="79" spans="1:7" ht="24" hidden="1" customHeight="1" x14ac:dyDescent="0.25">
      <c r="A79" t="s">
        <v>28</v>
      </c>
      <c r="B79" s="2">
        <v>4286140</v>
      </c>
      <c r="C79">
        <v>28</v>
      </c>
      <c r="D79">
        <v>6.91</v>
      </c>
      <c r="E79" s="2">
        <v>3166929</v>
      </c>
      <c r="F79" s="1">
        <f>T3_Pop_Count_Sampling[[#This Row],[Est. Pop Count (pcs)]]/T3_Pop_Count_Sampling[[#This Row],[Total Stocked (pcs)]]*100</f>
        <v>73.887670491397856</v>
      </c>
      <c r="G79" s="2">
        <f>T3_Pop_Count_Sampling[[#This Row],[Est. Pop Count (pcs)]]*T3_Pop_Count_Sampling[[#This Row],[ABW (g)]]/1000</f>
        <v>21883.47939</v>
      </c>
    </row>
    <row r="80" spans="1:7" ht="24" hidden="1" customHeight="1" x14ac:dyDescent="0.25">
      <c r="A80" t="s">
        <v>29</v>
      </c>
      <c r="B80" s="2">
        <v>4244375</v>
      </c>
      <c r="C80">
        <v>28</v>
      </c>
      <c r="D80">
        <v>9.64</v>
      </c>
      <c r="E80" s="2">
        <v>2258526</v>
      </c>
      <c r="F80" s="1">
        <f>T3_Pop_Count_Sampling[[#This Row],[Est. Pop Count (pcs)]]/T3_Pop_Count_Sampling[[#This Row],[Total Stocked (pcs)]]*100</f>
        <v>53.212216168458248</v>
      </c>
      <c r="G80" s="2">
        <f>T3_Pop_Count_Sampling[[#This Row],[Est. Pop Count (pcs)]]*T3_Pop_Count_Sampling[[#This Row],[ABW (g)]]/1000</f>
        <v>21772.190640000001</v>
      </c>
    </row>
    <row r="81" spans="1:7" ht="24" hidden="1" customHeight="1" x14ac:dyDescent="0.25">
      <c r="A81" t="s">
        <v>30</v>
      </c>
      <c r="B81" s="2">
        <v>4181053</v>
      </c>
      <c r="C81">
        <v>28</v>
      </c>
      <c r="D81">
        <v>7.94</v>
      </c>
      <c r="E81" s="2">
        <v>3078711</v>
      </c>
      <c r="F81" s="1">
        <f>T3_Pop_Count_Sampling[[#This Row],[Est. Pop Count (pcs)]]/T3_Pop_Count_Sampling[[#This Row],[Total Stocked (pcs)]]*100</f>
        <v>73.63482357195663</v>
      </c>
      <c r="G81" s="2">
        <f>T3_Pop_Count_Sampling[[#This Row],[Est. Pop Count (pcs)]]*T3_Pop_Count_Sampling[[#This Row],[ABW (g)]]/1000</f>
        <v>24444.965339999999</v>
      </c>
    </row>
    <row r="82" spans="1:7" ht="24" hidden="1" customHeight="1" x14ac:dyDescent="0.25">
      <c r="A82" t="s">
        <v>8</v>
      </c>
      <c r="B82" s="2">
        <v>4218543</v>
      </c>
      <c r="C82">
        <v>35</v>
      </c>
      <c r="D82">
        <v>10.09</v>
      </c>
      <c r="E82" s="2">
        <v>3085124</v>
      </c>
      <c r="F82" s="1">
        <f>T3_Pop_Count_Sampling[[#This Row],[Est. Pop Count (pcs)]]/T3_Pop_Count_Sampling[[#This Row],[Total Stocked (pcs)]]*100</f>
        <v>73.132453550906078</v>
      </c>
      <c r="G82" s="2">
        <f>T3_Pop_Count_Sampling[[#This Row],[Est. Pop Count (pcs)]]*T3_Pop_Count_Sampling[[#This Row],[ABW (g)]]/1000</f>
        <v>31128.901160000001</v>
      </c>
    </row>
    <row r="83" spans="1:7" ht="24" hidden="1" customHeight="1" x14ac:dyDescent="0.25">
      <c r="A83" t="s">
        <v>9</v>
      </c>
      <c r="B83" s="2">
        <v>4477821</v>
      </c>
      <c r="C83">
        <v>35</v>
      </c>
      <c r="D83">
        <v>9.68</v>
      </c>
      <c r="E83" s="2">
        <v>3305606</v>
      </c>
      <c r="F83" s="1">
        <f>T3_Pop_Count_Sampling[[#This Row],[Est. Pop Count (pcs)]]/T3_Pop_Count_Sampling[[#This Row],[Total Stocked (pcs)]]*100</f>
        <v>73.821753928975724</v>
      </c>
      <c r="G83" s="2">
        <f>T3_Pop_Count_Sampling[[#This Row],[Est. Pop Count (pcs)]]*T3_Pop_Count_Sampling[[#This Row],[ABW (g)]]/1000</f>
        <v>31998.266079999998</v>
      </c>
    </row>
    <row r="84" spans="1:7" ht="24" hidden="1" customHeight="1" x14ac:dyDescent="0.25">
      <c r="A84" t="s">
        <v>10</v>
      </c>
      <c r="B84" s="2">
        <v>4379397</v>
      </c>
      <c r="C84">
        <v>35</v>
      </c>
      <c r="D84">
        <v>8.89</v>
      </c>
      <c r="E84" s="2">
        <v>3210063</v>
      </c>
      <c r="F84" s="1">
        <f>T3_Pop_Count_Sampling[[#This Row],[Est. Pop Count (pcs)]]/T3_Pop_Count_Sampling[[#This Row],[Total Stocked (pcs)]]*100</f>
        <v>73.299200780381412</v>
      </c>
      <c r="G84" s="2">
        <f>T3_Pop_Count_Sampling[[#This Row],[Est. Pop Count (pcs)]]*T3_Pop_Count_Sampling[[#This Row],[ABW (g)]]/1000</f>
        <v>28537.460070000001</v>
      </c>
    </row>
    <row r="85" spans="1:7" ht="24" hidden="1" customHeight="1" x14ac:dyDescent="0.25">
      <c r="A85" t="s">
        <v>11</v>
      </c>
      <c r="B85" s="2">
        <v>4319396</v>
      </c>
      <c r="C85">
        <v>35</v>
      </c>
      <c r="D85">
        <v>9.91</v>
      </c>
      <c r="E85" s="2">
        <v>2168495</v>
      </c>
      <c r="F85" s="1">
        <f>T3_Pop_Count_Sampling[[#This Row],[Est. Pop Count (pcs)]]/T3_Pop_Count_Sampling[[#This Row],[Total Stocked (pcs)]]*100</f>
        <v>50.203662734326748</v>
      </c>
      <c r="G85" s="2">
        <f>T3_Pop_Count_Sampling[[#This Row],[Est. Pop Count (pcs)]]*T3_Pop_Count_Sampling[[#This Row],[ABW (g)]]/1000</f>
        <v>21489.785449999999</v>
      </c>
    </row>
    <row r="86" spans="1:7" ht="24" hidden="1" customHeight="1" x14ac:dyDescent="0.25">
      <c r="A86" t="s">
        <v>12</v>
      </c>
      <c r="B86" s="2">
        <v>4120208</v>
      </c>
      <c r="C86">
        <v>35</v>
      </c>
      <c r="D86">
        <v>9.8000000000000007</v>
      </c>
      <c r="E86" s="2">
        <v>3035392</v>
      </c>
      <c r="F86" s="1">
        <f>T3_Pop_Count_Sampling[[#This Row],[Est. Pop Count (pcs)]]/T3_Pop_Count_Sampling[[#This Row],[Total Stocked (pcs)]]*100</f>
        <v>73.670843802060489</v>
      </c>
      <c r="G86" s="2">
        <f>T3_Pop_Count_Sampling[[#This Row],[Est. Pop Count (pcs)]]*T3_Pop_Count_Sampling[[#This Row],[ABW (g)]]/1000</f>
        <v>29746.8416</v>
      </c>
    </row>
    <row r="87" spans="1:7" ht="24" hidden="1" customHeight="1" x14ac:dyDescent="0.25">
      <c r="A87" t="s">
        <v>14</v>
      </c>
      <c r="B87" s="2">
        <v>4120198</v>
      </c>
      <c r="C87">
        <v>35</v>
      </c>
      <c r="D87">
        <v>10.39</v>
      </c>
      <c r="E87" s="2">
        <v>1991087</v>
      </c>
      <c r="F87" s="1">
        <f>T3_Pop_Count_Sampling[[#This Row],[Est. Pop Count (pcs)]]/T3_Pop_Count_Sampling[[#This Row],[Total Stocked (pcs)]]*100</f>
        <v>48.325031952347921</v>
      </c>
      <c r="G87" s="2">
        <f>T3_Pop_Count_Sampling[[#This Row],[Est. Pop Count (pcs)]]*T3_Pop_Count_Sampling[[#This Row],[ABW (g)]]/1000</f>
        <v>20687.393929999998</v>
      </c>
    </row>
    <row r="88" spans="1:7" ht="24" hidden="1" customHeight="1" x14ac:dyDescent="0.25">
      <c r="A88" t="s">
        <v>15</v>
      </c>
      <c r="B88" s="2">
        <v>4076138</v>
      </c>
      <c r="C88">
        <v>35</v>
      </c>
      <c r="D88">
        <v>9.6300000000000008</v>
      </c>
      <c r="E88" s="2">
        <v>1827468</v>
      </c>
      <c r="F88" s="1">
        <f>T3_Pop_Count_Sampling[[#This Row],[Est. Pop Count (pcs)]]/T3_Pop_Count_Sampling[[#This Row],[Total Stocked (pcs)]]*100</f>
        <v>44.833320167275986</v>
      </c>
      <c r="G88" s="2">
        <f>T3_Pop_Count_Sampling[[#This Row],[Est. Pop Count (pcs)]]*T3_Pop_Count_Sampling[[#This Row],[ABW (g)]]/1000</f>
        <v>17598.51684</v>
      </c>
    </row>
    <row r="89" spans="1:7" ht="24" hidden="1" customHeight="1" x14ac:dyDescent="0.25">
      <c r="A89" t="s">
        <v>16</v>
      </c>
      <c r="B89" s="2">
        <v>4439779</v>
      </c>
      <c r="C89">
        <v>35</v>
      </c>
      <c r="D89">
        <v>10.19</v>
      </c>
      <c r="E89" s="2">
        <v>2279433</v>
      </c>
      <c r="F89" s="1">
        <f>T3_Pop_Count_Sampling[[#This Row],[Est. Pop Count (pcs)]]/T3_Pop_Count_Sampling[[#This Row],[Total Stocked (pcs)]]*100</f>
        <v>51.341136574590763</v>
      </c>
      <c r="G89" s="2">
        <f>T3_Pop_Count_Sampling[[#This Row],[Est. Pop Count (pcs)]]*T3_Pop_Count_Sampling[[#This Row],[ABW (g)]]/1000</f>
        <v>23227.422269999999</v>
      </c>
    </row>
    <row r="90" spans="1:7" ht="24" hidden="1" customHeight="1" x14ac:dyDescent="0.25">
      <c r="A90" t="s">
        <v>17</v>
      </c>
      <c r="B90" s="2">
        <v>4320502</v>
      </c>
      <c r="C90">
        <v>35</v>
      </c>
      <c r="D90">
        <v>9.98</v>
      </c>
      <c r="E90" s="2">
        <v>3161462</v>
      </c>
      <c r="F90" s="1">
        <f>T3_Pop_Count_Sampling[[#This Row],[Est. Pop Count (pcs)]]/T3_Pop_Count_Sampling[[#This Row],[Total Stocked (pcs)]]*100</f>
        <v>73.173487710455859</v>
      </c>
      <c r="G90" s="2">
        <f>T3_Pop_Count_Sampling[[#This Row],[Est. Pop Count (pcs)]]*T3_Pop_Count_Sampling[[#This Row],[ABW (g)]]/1000</f>
        <v>31551.390760000002</v>
      </c>
    </row>
    <row r="91" spans="1:7" ht="24" hidden="1" customHeight="1" x14ac:dyDescent="0.25">
      <c r="A91" t="s">
        <v>18</v>
      </c>
      <c r="B91" s="2">
        <v>4368633</v>
      </c>
      <c r="C91">
        <v>35</v>
      </c>
      <c r="D91">
        <v>8.9600000000000009</v>
      </c>
      <c r="E91" s="2">
        <v>3193033</v>
      </c>
      <c r="F91" s="1">
        <f>T3_Pop_Count_Sampling[[#This Row],[Est. Pop Count (pcs)]]/T3_Pop_Count_Sampling[[#This Row],[Total Stocked (pcs)]]*100</f>
        <v>73.089980321075259</v>
      </c>
      <c r="G91" s="2">
        <f>T3_Pop_Count_Sampling[[#This Row],[Est. Pop Count (pcs)]]*T3_Pop_Count_Sampling[[#This Row],[ABW (g)]]/1000</f>
        <v>28609.575680000002</v>
      </c>
    </row>
    <row r="92" spans="1:7" ht="24" hidden="1" customHeight="1" x14ac:dyDescent="0.25">
      <c r="A92" t="s">
        <v>20</v>
      </c>
      <c r="B92" s="2">
        <v>4059263</v>
      </c>
      <c r="C92">
        <v>35</v>
      </c>
      <c r="D92">
        <v>10.7</v>
      </c>
      <c r="E92" s="2">
        <v>2041365</v>
      </c>
      <c r="F92" s="1">
        <f>T3_Pop_Count_Sampling[[#This Row],[Est. Pop Count (pcs)]]/T3_Pop_Count_Sampling[[#This Row],[Total Stocked (pcs)]]*100</f>
        <v>50.289054934356315</v>
      </c>
      <c r="G92" s="2">
        <f>T3_Pop_Count_Sampling[[#This Row],[Est. Pop Count (pcs)]]*T3_Pop_Count_Sampling[[#This Row],[ABW (g)]]/1000</f>
        <v>21842.605500000001</v>
      </c>
    </row>
    <row r="93" spans="1:7" ht="24" hidden="1" customHeight="1" x14ac:dyDescent="0.25">
      <c r="A93" t="s">
        <v>21</v>
      </c>
      <c r="B93" s="2">
        <v>4486459</v>
      </c>
      <c r="C93">
        <v>35</v>
      </c>
      <c r="D93">
        <v>8.68</v>
      </c>
      <c r="E93" s="2">
        <v>3298966</v>
      </c>
      <c r="F93" s="1">
        <f>T3_Pop_Count_Sampling[[#This Row],[Est. Pop Count (pcs)]]/T3_Pop_Count_Sampling[[#This Row],[Total Stocked (pcs)]]*100</f>
        <v>73.531620371433235</v>
      </c>
      <c r="G93" s="2">
        <f>T3_Pop_Count_Sampling[[#This Row],[Est. Pop Count (pcs)]]*T3_Pop_Count_Sampling[[#This Row],[ABW (g)]]/1000</f>
        <v>28635.024879999997</v>
      </c>
    </row>
    <row r="94" spans="1:7" ht="24" hidden="1" customHeight="1" x14ac:dyDescent="0.25">
      <c r="A94" t="s">
        <v>22</v>
      </c>
      <c r="B94" s="2">
        <v>4424599</v>
      </c>
      <c r="C94">
        <v>35</v>
      </c>
      <c r="D94">
        <v>10.53</v>
      </c>
      <c r="E94" s="2">
        <v>3281230</v>
      </c>
      <c r="F94" s="1">
        <f>T3_Pop_Count_Sampling[[#This Row],[Est. Pop Count (pcs)]]/T3_Pop_Count_Sampling[[#This Row],[Total Stocked (pcs)]]*100</f>
        <v>74.15881077584659</v>
      </c>
      <c r="G94" s="2">
        <f>T3_Pop_Count_Sampling[[#This Row],[Est. Pop Count (pcs)]]*T3_Pop_Count_Sampling[[#This Row],[ABW (g)]]/1000</f>
        <v>34551.351900000001</v>
      </c>
    </row>
    <row r="95" spans="1:7" ht="24" hidden="1" customHeight="1" x14ac:dyDescent="0.25">
      <c r="A95" t="s">
        <v>23</v>
      </c>
      <c r="B95" s="2">
        <v>4145553</v>
      </c>
      <c r="C95">
        <v>35</v>
      </c>
      <c r="D95">
        <v>11.4</v>
      </c>
      <c r="E95" s="2">
        <v>1696449</v>
      </c>
      <c r="F95" s="1">
        <f>T3_Pop_Count_Sampling[[#This Row],[Est. Pop Count (pcs)]]/T3_Pop_Count_Sampling[[#This Row],[Total Stocked (pcs)]]*100</f>
        <v>40.922139941281657</v>
      </c>
      <c r="G95" s="2">
        <f>T3_Pop_Count_Sampling[[#This Row],[Est. Pop Count (pcs)]]*T3_Pop_Count_Sampling[[#This Row],[ABW (g)]]/1000</f>
        <v>19339.518600000003</v>
      </c>
    </row>
    <row r="96" spans="1:7" ht="24" hidden="1" customHeight="1" x14ac:dyDescent="0.25">
      <c r="A96" t="s">
        <v>24</v>
      </c>
      <c r="B96" s="2">
        <v>4131821</v>
      </c>
      <c r="C96">
        <v>35</v>
      </c>
      <c r="D96">
        <v>10.91</v>
      </c>
      <c r="E96" s="2">
        <v>3033479</v>
      </c>
      <c r="F96" s="1">
        <f>T3_Pop_Count_Sampling[[#This Row],[Est. Pop Count (pcs)]]/T3_Pop_Count_Sampling[[#This Row],[Total Stocked (pcs)]]*100</f>
        <v>73.417483477624032</v>
      </c>
      <c r="G96" s="2">
        <f>T3_Pop_Count_Sampling[[#This Row],[Est. Pop Count (pcs)]]*T3_Pop_Count_Sampling[[#This Row],[ABW (g)]]/1000</f>
        <v>33095.25589</v>
      </c>
    </row>
    <row r="97" spans="1:7" ht="24" hidden="1" customHeight="1" x14ac:dyDescent="0.25">
      <c r="A97" t="s">
        <v>26</v>
      </c>
      <c r="B97" s="2">
        <v>4132532</v>
      </c>
      <c r="C97">
        <v>35</v>
      </c>
      <c r="D97">
        <v>11.51</v>
      </c>
      <c r="E97" s="2">
        <v>3050902</v>
      </c>
      <c r="F97" s="1">
        <f>T3_Pop_Count_Sampling[[#This Row],[Est. Pop Count (pcs)]]/T3_Pop_Count_Sampling[[#This Row],[Total Stocked (pcs)]]*100</f>
        <v>73.826457968141568</v>
      </c>
      <c r="G97" s="2">
        <f>T3_Pop_Count_Sampling[[#This Row],[Est. Pop Count (pcs)]]*T3_Pop_Count_Sampling[[#This Row],[ABW (g)]]/1000</f>
        <v>35115.882019999997</v>
      </c>
    </row>
    <row r="98" spans="1:7" ht="24" hidden="1" customHeight="1" x14ac:dyDescent="0.25">
      <c r="A98" t="s">
        <v>27</v>
      </c>
      <c r="B98" s="2">
        <v>4186909</v>
      </c>
      <c r="C98">
        <v>35</v>
      </c>
      <c r="D98">
        <v>9.98</v>
      </c>
      <c r="E98" s="2">
        <v>3053274</v>
      </c>
      <c r="F98" s="1">
        <f>T3_Pop_Count_Sampling[[#This Row],[Est. Pop Count (pcs)]]/T3_Pop_Count_Sampling[[#This Row],[Total Stocked (pcs)]]*100</f>
        <v>72.924298091981456</v>
      </c>
      <c r="G98" s="2">
        <f>T3_Pop_Count_Sampling[[#This Row],[Est. Pop Count (pcs)]]*T3_Pop_Count_Sampling[[#This Row],[ABW (g)]]/1000</f>
        <v>30471.67452</v>
      </c>
    </row>
    <row r="99" spans="1:7" ht="24" hidden="1" customHeight="1" x14ac:dyDescent="0.25">
      <c r="A99" t="s">
        <v>28</v>
      </c>
      <c r="B99" s="2">
        <v>4286140</v>
      </c>
      <c r="C99">
        <v>35</v>
      </c>
      <c r="D99">
        <v>8.1</v>
      </c>
      <c r="E99" s="2">
        <v>3164771</v>
      </c>
      <c r="F99" s="1">
        <f>T3_Pop_Count_Sampling[[#This Row],[Est. Pop Count (pcs)]]/T3_Pop_Count_Sampling[[#This Row],[Total Stocked (pcs)]]*100</f>
        <v>73.837322159332174</v>
      </c>
      <c r="G99" s="2">
        <f>T3_Pop_Count_Sampling[[#This Row],[Est. Pop Count (pcs)]]*T3_Pop_Count_Sampling[[#This Row],[ABW (g)]]/1000</f>
        <v>25634.645099999998</v>
      </c>
    </row>
    <row r="100" spans="1:7" ht="24" hidden="1" customHeight="1" x14ac:dyDescent="0.25">
      <c r="A100" t="s">
        <v>29</v>
      </c>
      <c r="B100" s="2">
        <v>4244375</v>
      </c>
      <c r="C100">
        <v>35</v>
      </c>
      <c r="D100">
        <v>11.2</v>
      </c>
      <c r="E100" s="2">
        <v>2199210</v>
      </c>
      <c r="F100" s="1">
        <f>T3_Pop_Count_Sampling[[#This Row],[Est. Pop Count (pcs)]]/T3_Pop_Count_Sampling[[#This Row],[Total Stocked (pcs)]]*100</f>
        <v>51.814695921072008</v>
      </c>
      <c r="G100" s="2">
        <f>T3_Pop_Count_Sampling[[#This Row],[Est. Pop Count (pcs)]]*T3_Pop_Count_Sampling[[#This Row],[ABW (g)]]/1000</f>
        <v>24631.151999999998</v>
      </c>
    </row>
    <row r="101" spans="1:7" ht="24" hidden="1" customHeight="1" x14ac:dyDescent="0.25">
      <c r="A101" t="s">
        <v>30</v>
      </c>
      <c r="B101" s="2">
        <v>4181053</v>
      </c>
      <c r="C101">
        <v>35</v>
      </c>
      <c r="D101">
        <v>9.02</v>
      </c>
      <c r="E101" s="2">
        <v>3070069</v>
      </c>
      <c r="F101" s="1">
        <f>T3_Pop_Count_Sampling[[#This Row],[Est. Pop Count (pcs)]]/T3_Pop_Count_Sampling[[#This Row],[Total Stocked (pcs)]]*100</f>
        <v>73.428129229646217</v>
      </c>
      <c r="G101" s="2">
        <f>T3_Pop_Count_Sampling[[#This Row],[Est. Pop Count (pcs)]]*T3_Pop_Count_Sampling[[#This Row],[ABW (g)]]/1000</f>
        <v>27692.022379999999</v>
      </c>
    </row>
    <row r="102" spans="1:7" ht="24" hidden="1" customHeight="1" x14ac:dyDescent="0.25">
      <c r="A102" t="s">
        <v>8</v>
      </c>
      <c r="B102" s="2">
        <v>4218543</v>
      </c>
      <c r="C102">
        <v>42</v>
      </c>
      <c r="D102">
        <v>11.53</v>
      </c>
      <c r="E102" s="2">
        <v>3075029</v>
      </c>
      <c r="F102" s="1">
        <f>T3_Pop_Count_Sampling[[#This Row],[Est. Pop Count (pcs)]]/T3_Pop_Count_Sampling[[#This Row],[Total Stocked (pcs)]]*100</f>
        <v>72.893152920332909</v>
      </c>
      <c r="G102" s="2">
        <f>T3_Pop_Count_Sampling[[#This Row],[Est. Pop Count (pcs)]]*T3_Pop_Count_Sampling[[#This Row],[ABW (g)]]/1000</f>
        <v>35455.084369999997</v>
      </c>
    </row>
    <row r="103" spans="1:7" ht="24" hidden="1" customHeight="1" x14ac:dyDescent="0.25">
      <c r="A103" t="s">
        <v>9</v>
      </c>
      <c r="B103" s="2">
        <v>4477821</v>
      </c>
      <c r="C103">
        <v>42</v>
      </c>
      <c r="D103">
        <v>11.11</v>
      </c>
      <c r="E103" s="2">
        <v>3302483</v>
      </c>
      <c r="F103" s="1">
        <f>T3_Pop_Count_Sampling[[#This Row],[Est. Pop Count (pcs)]]/T3_Pop_Count_Sampling[[#This Row],[Total Stocked (pcs)]]*100</f>
        <v>73.752010185311107</v>
      </c>
      <c r="G103" s="2">
        <f>T3_Pop_Count_Sampling[[#This Row],[Est. Pop Count (pcs)]]*T3_Pop_Count_Sampling[[#This Row],[ABW (g)]]/1000</f>
        <v>36690.586129999996</v>
      </c>
    </row>
    <row r="104" spans="1:7" ht="24" hidden="1" customHeight="1" x14ac:dyDescent="0.25">
      <c r="A104" t="s">
        <v>10</v>
      </c>
      <c r="B104" s="2">
        <v>4379397</v>
      </c>
      <c r="C104">
        <v>42</v>
      </c>
      <c r="D104">
        <v>10.050000000000001</v>
      </c>
      <c r="E104" s="2">
        <v>3201129</v>
      </c>
      <c r="F104" s="1">
        <f>T3_Pop_Count_Sampling[[#This Row],[Est. Pop Count (pcs)]]/T3_Pop_Count_Sampling[[#This Row],[Total Stocked (pcs)]]*100</f>
        <v>73.095200092615485</v>
      </c>
      <c r="G104" s="2">
        <f>T3_Pop_Count_Sampling[[#This Row],[Est. Pop Count (pcs)]]*T3_Pop_Count_Sampling[[#This Row],[ABW (g)]]/1000</f>
        <v>32171.346450000005</v>
      </c>
    </row>
    <row r="105" spans="1:7" ht="24" hidden="1" customHeight="1" x14ac:dyDescent="0.25">
      <c r="A105" t="s">
        <v>11</v>
      </c>
      <c r="B105" s="2">
        <v>4319396</v>
      </c>
      <c r="C105">
        <v>42</v>
      </c>
      <c r="D105">
        <v>11.3</v>
      </c>
      <c r="E105" s="2">
        <v>2135911</v>
      </c>
      <c r="F105" s="1">
        <f>T3_Pop_Count_Sampling[[#This Row],[Est. Pop Count (pcs)]]/T3_Pop_Count_Sampling[[#This Row],[Total Stocked (pcs)]]*100</f>
        <v>49.449298003702367</v>
      </c>
      <c r="G105" s="2">
        <f>T3_Pop_Count_Sampling[[#This Row],[Est. Pop Count (pcs)]]*T3_Pop_Count_Sampling[[#This Row],[ABW (g)]]/1000</f>
        <v>24135.794300000001</v>
      </c>
    </row>
    <row r="106" spans="1:7" ht="24" hidden="1" customHeight="1" x14ac:dyDescent="0.25">
      <c r="A106" t="s">
        <v>12</v>
      </c>
      <c r="B106" s="2">
        <v>4120208</v>
      </c>
      <c r="C106">
        <v>42</v>
      </c>
      <c r="D106">
        <v>11.16</v>
      </c>
      <c r="E106" s="2">
        <v>3031176</v>
      </c>
      <c r="F106" s="1">
        <f>T3_Pop_Count_Sampling[[#This Row],[Est. Pop Count (pcs)]]/T3_Pop_Count_Sampling[[#This Row],[Total Stocked (pcs)]]*100</f>
        <v>73.56851887089195</v>
      </c>
      <c r="G106" s="2">
        <f>T3_Pop_Count_Sampling[[#This Row],[Est. Pop Count (pcs)]]*T3_Pop_Count_Sampling[[#This Row],[ABW (g)]]/1000</f>
        <v>33827.924160000002</v>
      </c>
    </row>
    <row r="107" spans="1:7" ht="24" hidden="1" customHeight="1" x14ac:dyDescent="0.25">
      <c r="A107" t="s">
        <v>14</v>
      </c>
      <c r="B107" s="2">
        <v>4120198</v>
      </c>
      <c r="C107">
        <v>42</v>
      </c>
      <c r="D107">
        <v>11.95</v>
      </c>
      <c r="E107" s="2">
        <v>1948899</v>
      </c>
      <c r="F107" s="1">
        <f>T3_Pop_Count_Sampling[[#This Row],[Est. Pop Count (pcs)]]/T3_Pop_Count_Sampling[[#This Row],[Total Stocked (pcs)]]*100</f>
        <v>47.301100578176097</v>
      </c>
      <c r="G107" s="2">
        <f>T3_Pop_Count_Sampling[[#This Row],[Est. Pop Count (pcs)]]*T3_Pop_Count_Sampling[[#This Row],[ABW (g)]]/1000</f>
        <v>23289.343049999996</v>
      </c>
    </row>
    <row r="108" spans="1:7" ht="24" hidden="1" customHeight="1" x14ac:dyDescent="0.25">
      <c r="A108" t="s">
        <v>15</v>
      </c>
      <c r="B108" s="2">
        <v>4076138</v>
      </c>
      <c r="C108">
        <v>42</v>
      </c>
      <c r="D108">
        <v>11.2</v>
      </c>
      <c r="E108" s="2">
        <v>1803364</v>
      </c>
      <c r="F108" s="1">
        <f>T3_Pop_Count_Sampling[[#This Row],[Est. Pop Count (pcs)]]/T3_Pop_Count_Sampling[[#This Row],[Total Stocked (pcs)]]*100</f>
        <v>44.241976105813883</v>
      </c>
      <c r="G108" s="2">
        <f>T3_Pop_Count_Sampling[[#This Row],[Est. Pop Count (pcs)]]*T3_Pop_Count_Sampling[[#This Row],[ABW (g)]]/1000</f>
        <v>20197.676799999997</v>
      </c>
    </row>
    <row r="109" spans="1:7" ht="24" hidden="1" customHeight="1" x14ac:dyDescent="0.25">
      <c r="A109" t="s">
        <v>16</v>
      </c>
      <c r="B109" s="2">
        <v>4439779</v>
      </c>
      <c r="C109">
        <v>42</v>
      </c>
      <c r="D109">
        <v>11.23</v>
      </c>
      <c r="E109" s="2">
        <v>2233680</v>
      </c>
      <c r="F109" s="1">
        <f>T3_Pop_Count_Sampling[[#This Row],[Est. Pop Count (pcs)]]/T3_Pop_Count_Sampling[[#This Row],[Total Stocked (pcs)]]*100</f>
        <v>50.310612307504499</v>
      </c>
      <c r="G109" s="2">
        <f>T3_Pop_Count_Sampling[[#This Row],[Est. Pop Count (pcs)]]*T3_Pop_Count_Sampling[[#This Row],[ABW (g)]]/1000</f>
        <v>25084.226400000003</v>
      </c>
    </row>
    <row r="110" spans="1:7" ht="24" hidden="1" customHeight="1" x14ac:dyDescent="0.25">
      <c r="A110" t="s">
        <v>17</v>
      </c>
      <c r="B110" s="2">
        <v>4320502</v>
      </c>
      <c r="C110">
        <v>42</v>
      </c>
      <c r="D110">
        <v>11.32</v>
      </c>
      <c r="E110" s="2">
        <v>3146667</v>
      </c>
      <c r="F110" s="1">
        <f>T3_Pop_Count_Sampling[[#This Row],[Est. Pop Count (pcs)]]/T3_Pop_Count_Sampling[[#This Row],[Total Stocked (pcs)]]*100</f>
        <v>72.831050651058604</v>
      </c>
      <c r="G110" s="2">
        <f>T3_Pop_Count_Sampling[[#This Row],[Est. Pop Count (pcs)]]*T3_Pop_Count_Sampling[[#This Row],[ABW (g)]]/1000</f>
        <v>35620.27044</v>
      </c>
    </row>
    <row r="111" spans="1:7" ht="24" hidden="1" customHeight="1" x14ac:dyDescent="0.25">
      <c r="A111" t="s">
        <v>18</v>
      </c>
      <c r="B111" s="2">
        <v>4368633</v>
      </c>
      <c r="C111">
        <v>42</v>
      </c>
      <c r="D111">
        <v>10.52</v>
      </c>
      <c r="E111" s="2">
        <v>3188606</v>
      </c>
      <c r="F111" s="1">
        <f>T3_Pop_Count_Sampling[[#This Row],[Est. Pop Count (pcs)]]/T3_Pop_Count_Sampling[[#This Row],[Total Stocked (pcs)]]*100</f>
        <v>72.988644273849516</v>
      </c>
      <c r="G111" s="2">
        <f>T3_Pop_Count_Sampling[[#This Row],[Est. Pop Count (pcs)]]*T3_Pop_Count_Sampling[[#This Row],[ABW (g)]]/1000</f>
        <v>33544.135119999999</v>
      </c>
    </row>
    <row r="112" spans="1:7" ht="24" hidden="1" customHeight="1" x14ac:dyDescent="0.25">
      <c r="A112" t="s">
        <v>20</v>
      </c>
      <c r="B112" s="2">
        <v>4059263</v>
      </c>
      <c r="C112">
        <v>42</v>
      </c>
      <c r="D112">
        <v>12.15</v>
      </c>
      <c r="E112" s="2">
        <v>2023185</v>
      </c>
      <c r="F112" s="1">
        <f>T3_Pop_Count_Sampling[[#This Row],[Est. Pop Count (pcs)]]/T3_Pop_Count_Sampling[[#This Row],[Total Stocked (pcs)]]*100</f>
        <v>49.841190383574556</v>
      </c>
      <c r="G112" s="2">
        <f>T3_Pop_Count_Sampling[[#This Row],[Est. Pop Count (pcs)]]*T3_Pop_Count_Sampling[[#This Row],[ABW (g)]]/1000</f>
        <v>24581.697749999999</v>
      </c>
    </row>
    <row r="113" spans="1:7" ht="24" hidden="1" customHeight="1" x14ac:dyDescent="0.25">
      <c r="A113" t="s">
        <v>21</v>
      </c>
      <c r="B113" s="2">
        <v>4486459</v>
      </c>
      <c r="C113">
        <v>42</v>
      </c>
      <c r="D113">
        <v>10.46</v>
      </c>
      <c r="E113" s="2">
        <v>3293415</v>
      </c>
      <c r="F113" s="1">
        <f>T3_Pop_Count_Sampling[[#This Row],[Est. Pop Count (pcs)]]/T3_Pop_Count_Sampling[[#This Row],[Total Stocked (pcs)]]*100</f>
        <v>73.407892504979984</v>
      </c>
      <c r="G113" s="2">
        <f>T3_Pop_Count_Sampling[[#This Row],[Est. Pop Count (pcs)]]*T3_Pop_Count_Sampling[[#This Row],[ABW (g)]]/1000</f>
        <v>34449.120900000009</v>
      </c>
    </row>
    <row r="114" spans="1:7" ht="24" hidden="1" customHeight="1" x14ac:dyDescent="0.25">
      <c r="A114" t="s">
        <v>22</v>
      </c>
      <c r="B114" s="2">
        <v>4424599</v>
      </c>
      <c r="C114">
        <v>42</v>
      </c>
      <c r="D114">
        <v>12.13</v>
      </c>
      <c r="E114" s="2">
        <v>3267492</v>
      </c>
      <c r="F114" s="1">
        <f>T3_Pop_Count_Sampling[[#This Row],[Est. Pop Count (pcs)]]/T3_Pop_Count_Sampling[[#This Row],[Total Stocked (pcs)]]*100</f>
        <v>73.848319361822391</v>
      </c>
      <c r="G114" s="2">
        <f>T3_Pop_Count_Sampling[[#This Row],[Est. Pop Count (pcs)]]*T3_Pop_Count_Sampling[[#This Row],[ABW (g)]]/1000</f>
        <v>39634.677960000001</v>
      </c>
    </row>
    <row r="115" spans="1:7" ht="24" hidden="1" customHeight="1" x14ac:dyDescent="0.25">
      <c r="A115" t="s">
        <v>23</v>
      </c>
      <c r="B115" s="2">
        <v>4145553</v>
      </c>
      <c r="C115">
        <v>42</v>
      </c>
      <c r="D115">
        <v>12.55</v>
      </c>
      <c r="E115" s="2">
        <v>1681494</v>
      </c>
      <c r="F115" s="1">
        <f>T3_Pop_Count_Sampling[[#This Row],[Est. Pop Count (pcs)]]/T3_Pop_Count_Sampling[[#This Row],[Total Stocked (pcs)]]*100</f>
        <v>40.561391930099553</v>
      </c>
      <c r="G115" s="2">
        <f>T3_Pop_Count_Sampling[[#This Row],[Est. Pop Count (pcs)]]*T3_Pop_Count_Sampling[[#This Row],[ABW (g)]]/1000</f>
        <v>21102.749700000004</v>
      </c>
    </row>
    <row r="116" spans="1:7" ht="24" hidden="1" customHeight="1" x14ac:dyDescent="0.25">
      <c r="A116" t="s">
        <v>24</v>
      </c>
      <c r="B116" s="2">
        <v>4131821</v>
      </c>
      <c r="C116">
        <v>42</v>
      </c>
      <c r="D116">
        <v>11.97</v>
      </c>
      <c r="E116" s="2">
        <v>3029578</v>
      </c>
      <c r="F116" s="1">
        <f>T3_Pop_Count_Sampling[[#This Row],[Est. Pop Count (pcs)]]/T3_Pop_Count_Sampling[[#This Row],[Total Stocked (pcs)]]*100</f>
        <v>73.323069900656392</v>
      </c>
      <c r="G116" s="2">
        <f>T3_Pop_Count_Sampling[[#This Row],[Est. Pop Count (pcs)]]*T3_Pop_Count_Sampling[[#This Row],[ABW (g)]]/1000</f>
        <v>36264.04866</v>
      </c>
    </row>
    <row r="117" spans="1:7" ht="24" hidden="1" customHeight="1" x14ac:dyDescent="0.25">
      <c r="A117" t="s">
        <v>26</v>
      </c>
      <c r="B117" s="2">
        <v>4132532</v>
      </c>
      <c r="C117">
        <v>42</v>
      </c>
      <c r="D117">
        <v>13.09</v>
      </c>
      <c r="E117" s="2">
        <v>3035310</v>
      </c>
      <c r="F117" s="1">
        <f>T3_Pop_Count_Sampling[[#This Row],[Est. Pop Count (pcs)]]/T3_Pop_Count_Sampling[[#This Row],[Total Stocked (pcs)]]*100</f>
        <v>73.449159014376662</v>
      </c>
      <c r="G117" s="2">
        <f>T3_Pop_Count_Sampling[[#This Row],[Est. Pop Count (pcs)]]*T3_Pop_Count_Sampling[[#This Row],[ABW (g)]]/1000</f>
        <v>39732.207900000001</v>
      </c>
    </row>
    <row r="118" spans="1:7" ht="24" hidden="1" customHeight="1" x14ac:dyDescent="0.25">
      <c r="A118" t="s">
        <v>27</v>
      </c>
      <c r="B118" s="2">
        <v>4186909</v>
      </c>
      <c r="C118">
        <v>42</v>
      </c>
      <c r="D118">
        <v>11</v>
      </c>
      <c r="E118" s="2">
        <v>3050933</v>
      </c>
      <c r="F118" s="1">
        <f>T3_Pop_Count_Sampling[[#This Row],[Est. Pop Count (pcs)]]/T3_Pop_Count_Sampling[[#This Row],[Total Stocked (pcs)]]*100</f>
        <v>72.868385723214899</v>
      </c>
      <c r="G118" s="2">
        <f>T3_Pop_Count_Sampling[[#This Row],[Est. Pop Count (pcs)]]*T3_Pop_Count_Sampling[[#This Row],[ABW (g)]]/1000</f>
        <v>33560.262999999999</v>
      </c>
    </row>
    <row r="119" spans="1:7" ht="24" hidden="1" customHeight="1" x14ac:dyDescent="0.25">
      <c r="A119" t="s">
        <v>28</v>
      </c>
      <c r="B119" s="2">
        <v>4286140</v>
      </c>
      <c r="C119">
        <v>42</v>
      </c>
      <c r="D119">
        <v>9.6300000000000008</v>
      </c>
      <c r="E119" s="2">
        <v>3151379</v>
      </c>
      <c r="F119" s="1">
        <f>T3_Pop_Count_Sampling[[#This Row],[Est. Pop Count (pcs)]]/T3_Pop_Count_Sampling[[#This Row],[Total Stocked (pcs)]]*100</f>
        <v>73.524873195929203</v>
      </c>
      <c r="G119" s="2">
        <f>T3_Pop_Count_Sampling[[#This Row],[Est. Pop Count (pcs)]]*T3_Pop_Count_Sampling[[#This Row],[ABW (g)]]/1000</f>
        <v>30347.779770000005</v>
      </c>
    </row>
    <row r="120" spans="1:7" ht="24" hidden="1" customHeight="1" x14ac:dyDescent="0.25">
      <c r="A120" t="s">
        <v>29</v>
      </c>
      <c r="B120" s="2">
        <v>4244375</v>
      </c>
      <c r="C120">
        <v>42</v>
      </c>
      <c r="D120">
        <v>13.04</v>
      </c>
      <c r="E120" s="2">
        <v>2170300</v>
      </c>
      <c r="F120" s="1">
        <f>T3_Pop_Count_Sampling[[#This Row],[Est. Pop Count (pcs)]]/T3_Pop_Count_Sampling[[#This Row],[Total Stocked (pcs)]]*100</f>
        <v>51.133559122367842</v>
      </c>
      <c r="G120" s="2">
        <f>T3_Pop_Count_Sampling[[#This Row],[Est. Pop Count (pcs)]]*T3_Pop_Count_Sampling[[#This Row],[ABW (g)]]/1000</f>
        <v>28300.712</v>
      </c>
    </row>
    <row r="121" spans="1:7" ht="24" hidden="1" customHeight="1" x14ac:dyDescent="0.25">
      <c r="A121" t="s">
        <v>30</v>
      </c>
      <c r="B121" s="2">
        <v>4181053</v>
      </c>
      <c r="C121">
        <v>42</v>
      </c>
      <c r="D121">
        <v>10.54</v>
      </c>
      <c r="E121" s="2">
        <v>3059054</v>
      </c>
      <c r="F121" s="1">
        <f>T3_Pop_Count_Sampling[[#This Row],[Est. Pop Count (pcs)]]/T3_Pop_Count_Sampling[[#This Row],[Total Stocked (pcs)]]*100</f>
        <v>73.164678850040886</v>
      </c>
      <c r="G121" s="2">
        <f>T3_Pop_Count_Sampling[[#This Row],[Est. Pop Count (pcs)]]*T3_Pop_Count_Sampling[[#This Row],[ABW (g)]]/1000</f>
        <v>32242.429159999996</v>
      </c>
    </row>
    <row r="122" spans="1:7" ht="24" hidden="1" customHeight="1" x14ac:dyDescent="0.25">
      <c r="A122" t="s">
        <v>8</v>
      </c>
      <c r="B122" s="2">
        <v>4218543</v>
      </c>
      <c r="C122">
        <v>49</v>
      </c>
      <c r="D122">
        <v>12.62</v>
      </c>
      <c r="E122" s="2">
        <v>3070979</v>
      </c>
      <c r="F122" s="1">
        <f>T3_Pop_Count_Sampling[[#This Row],[Est. Pop Count (pcs)]]/T3_Pop_Count_Sampling[[#This Row],[Total Stocked (pcs)]]*100</f>
        <v>72.797148209701788</v>
      </c>
      <c r="G122" s="2">
        <f>T3_Pop_Count_Sampling[[#This Row],[Est. Pop Count (pcs)]]*T3_Pop_Count_Sampling[[#This Row],[ABW (g)]]/1000</f>
        <v>38755.754979999998</v>
      </c>
    </row>
    <row r="123" spans="1:7" ht="24" hidden="1" customHeight="1" x14ac:dyDescent="0.25">
      <c r="A123" t="s">
        <v>9</v>
      </c>
      <c r="B123" s="2">
        <v>4477821</v>
      </c>
      <c r="C123">
        <v>49</v>
      </c>
      <c r="D123">
        <v>12.92</v>
      </c>
      <c r="E123" s="2">
        <v>3288247</v>
      </c>
      <c r="F123" s="1">
        <f>T3_Pop_Count_Sampling[[#This Row],[Est. Pop Count (pcs)]]/T3_Pop_Count_Sampling[[#This Row],[Total Stocked (pcs)]]*100</f>
        <v>73.434087695778814</v>
      </c>
      <c r="G123" s="2">
        <f>T3_Pop_Count_Sampling[[#This Row],[Est. Pop Count (pcs)]]*T3_Pop_Count_Sampling[[#This Row],[ABW (g)]]/1000</f>
        <v>42484.151239999999</v>
      </c>
    </row>
    <row r="124" spans="1:7" ht="24" hidden="1" customHeight="1" x14ac:dyDescent="0.25">
      <c r="A124" t="s">
        <v>10</v>
      </c>
      <c r="B124" s="2">
        <v>4379397</v>
      </c>
      <c r="C124">
        <v>49</v>
      </c>
      <c r="D124">
        <v>11.5</v>
      </c>
      <c r="E124" s="2">
        <v>3197070</v>
      </c>
      <c r="F124" s="1">
        <f>T3_Pop_Count_Sampling[[#This Row],[Est. Pop Count (pcs)]]/T3_Pop_Count_Sampling[[#This Row],[Total Stocked (pcs)]]*100</f>
        <v>73.002516099819232</v>
      </c>
      <c r="G124" s="2">
        <f>T3_Pop_Count_Sampling[[#This Row],[Est. Pop Count (pcs)]]*T3_Pop_Count_Sampling[[#This Row],[ABW (g)]]/1000</f>
        <v>36766.305</v>
      </c>
    </row>
    <row r="125" spans="1:7" ht="24" hidden="1" customHeight="1" x14ac:dyDescent="0.25">
      <c r="A125" t="s">
        <v>11</v>
      </c>
      <c r="B125" s="2">
        <v>4319396</v>
      </c>
      <c r="C125">
        <v>49</v>
      </c>
      <c r="D125">
        <v>13.04</v>
      </c>
      <c r="E125" s="2">
        <v>2078634</v>
      </c>
      <c r="F125" s="1">
        <f>T3_Pop_Count_Sampling[[#This Row],[Est. Pop Count (pcs)]]/T3_Pop_Count_Sampling[[#This Row],[Total Stocked (pcs)]]*100</f>
        <v>48.123256121920747</v>
      </c>
      <c r="G125" s="2">
        <f>T3_Pop_Count_Sampling[[#This Row],[Est. Pop Count (pcs)]]*T3_Pop_Count_Sampling[[#This Row],[ABW (g)]]/1000</f>
        <v>27105.387360000001</v>
      </c>
    </row>
    <row r="126" spans="1:7" ht="24" hidden="1" customHeight="1" x14ac:dyDescent="0.25">
      <c r="A126" t="s">
        <v>12</v>
      </c>
      <c r="B126" s="2">
        <v>4120208</v>
      </c>
      <c r="C126">
        <v>49</v>
      </c>
      <c r="D126">
        <v>12.45</v>
      </c>
      <c r="E126" s="2">
        <v>3026647</v>
      </c>
      <c r="F126" s="1">
        <f>T3_Pop_Count_Sampling[[#This Row],[Est. Pop Count (pcs)]]/T3_Pop_Count_Sampling[[#This Row],[Total Stocked (pcs)]]*100</f>
        <v>73.4585972358677</v>
      </c>
      <c r="G126" s="2">
        <f>T3_Pop_Count_Sampling[[#This Row],[Est. Pop Count (pcs)]]*T3_Pop_Count_Sampling[[#This Row],[ABW (g)]]/1000</f>
        <v>37681.755149999997</v>
      </c>
    </row>
    <row r="127" spans="1:7" ht="24" hidden="1" customHeight="1" x14ac:dyDescent="0.25">
      <c r="A127" t="s">
        <v>14</v>
      </c>
      <c r="B127" s="2">
        <v>4120198</v>
      </c>
      <c r="C127">
        <v>49</v>
      </c>
      <c r="D127">
        <v>13.75</v>
      </c>
      <c r="E127" s="2">
        <v>1932379</v>
      </c>
      <c r="F127" s="1">
        <f>T3_Pop_Count_Sampling[[#This Row],[Est. Pop Count (pcs)]]/T3_Pop_Count_Sampling[[#This Row],[Total Stocked (pcs)]]*100</f>
        <v>46.900148973423121</v>
      </c>
      <c r="G127" s="2">
        <f>T3_Pop_Count_Sampling[[#This Row],[Est. Pop Count (pcs)]]*T3_Pop_Count_Sampling[[#This Row],[ABW (g)]]/1000</f>
        <v>26570.21125</v>
      </c>
    </row>
    <row r="128" spans="1:7" ht="24" hidden="1" customHeight="1" x14ac:dyDescent="0.25">
      <c r="A128" t="s">
        <v>15</v>
      </c>
      <c r="B128" s="2">
        <v>4076138</v>
      </c>
      <c r="C128">
        <v>49</v>
      </c>
      <c r="D128">
        <v>12.55</v>
      </c>
      <c r="E128" s="2">
        <v>1759038</v>
      </c>
      <c r="F128" s="1">
        <f>T3_Pop_Count_Sampling[[#This Row],[Est. Pop Count (pcs)]]/T3_Pop_Count_Sampling[[#This Row],[Total Stocked (pcs)]]*100</f>
        <v>43.154525190265886</v>
      </c>
      <c r="G128" s="2">
        <f>T3_Pop_Count_Sampling[[#This Row],[Est. Pop Count (pcs)]]*T3_Pop_Count_Sampling[[#This Row],[ABW (g)]]/1000</f>
        <v>22075.926900000002</v>
      </c>
    </row>
    <row r="129" spans="1:7" ht="24" hidden="1" customHeight="1" x14ac:dyDescent="0.25">
      <c r="A129" t="s">
        <v>16</v>
      </c>
      <c r="B129" s="2">
        <v>4439779</v>
      </c>
      <c r="C129">
        <v>49</v>
      </c>
      <c r="D129">
        <v>12.24</v>
      </c>
      <c r="E129" s="2">
        <v>2205780</v>
      </c>
      <c r="F129" s="1">
        <f>T3_Pop_Count_Sampling[[#This Row],[Est. Pop Count (pcs)]]/T3_Pop_Count_Sampling[[#This Row],[Total Stocked (pcs)]]*100</f>
        <v>49.682202650176954</v>
      </c>
      <c r="G129" s="2">
        <f>T3_Pop_Count_Sampling[[#This Row],[Est. Pop Count (pcs)]]*T3_Pop_Count_Sampling[[#This Row],[ABW (g)]]/1000</f>
        <v>26998.747199999998</v>
      </c>
    </row>
    <row r="130" spans="1:7" ht="24" hidden="1" customHeight="1" x14ac:dyDescent="0.25">
      <c r="A130" t="s">
        <v>17</v>
      </c>
      <c r="B130" s="2">
        <v>4320502</v>
      </c>
      <c r="C130">
        <v>49</v>
      </c>
      <c r="D130">
        <v>13.13</v>
      </c>
      <c r="E130" s="2">
        <v>3137468</v>
      </c>
      <c r="F130" s="1">
        <f>T3_Pop_Count_Sampling[[#This Row],[Est. Pop Count (pcs)]]/T3_Pop_Count_Sampling[[#This Row],[Total Stocked (pcs)]]*100</f>
        <v>72.61813557776388</v>
      </c>
      <c r="G130" s="2">
        <f>T3_Pop_Count_Sampling[[#This Row],[Est. Pop Count (pcs)]]*T3_Pop_Count_Sampling[[#This Row],[ABW (g)]]/1000</f>
        <v>41194.954840000006</v>
      </c>
    </row>
    <row r="131" spans="1:7" ht="24" hidden="1" customHeight="1" x14ac:dyDescent="0.25">
      <c r="A131" t="s">
        <v>18</v>
      </c>
      <c r="B131" s="2">
        <v>4368633</v>
      </c>
      <c r="C131">
        <v>49</v>
      </c>
      <c r="D131">
        <v>11.61</v>
      </c>
      <c r="E131" s="2">
        <v>3184841</v>
      </c>
      <c r="F131" s="1">
        <f>T3_Pop_Count_Sampling[[#This Row],[Est. Pop Count (pcs)]]/T3_Pop_Count_Sampling[[#This Row],[Total Stocked (pcs)]]*100</f>
        <v>72.902461708273506</v>
      </c>
      <c r="G131" s="2">
        <f>T3_Pop_Count_Sampling[[#This Row],[Est. Pop Count (pcs)]]*T3_Pop_Count_Sampling[[#This Row],[ABW (g)]]/1000</f>
        <v>36976.004009999997</v>
      </c>
    </row>
    <row r="132" spans="1:7" ht="24" hidden="1" customHeight="1" x14ac:dyDescent="0.25">
      <c r="A132" t="s">
        <v>20</v>
      </c>
      <c r="B132" s="2">
        <v>4059263</v>
      </c>
      <c r="C132">
        <v>49</v>
      </c>
      <c r="D132">
        <v>13.44</v>
      </c>
      <c r="E132" s="2">
        <v>2000535</v>
      </c>
      <c r="F132" s="1">
        <f>T3_Pop_Count_Sampling[[#This Row],[Est. Pop Count (pcs)]]/T3_Pop_Count_Sampling[[#This Row],[Total Stocked (pcs)]]*100</f>
        <v>49.28320732113194</v>
      </c>
      <c r="G132" s="2">
        <f>T3_Pop_Count_Sampling[[#This Row],[Est. Pop Count (pcs)]]*T3_Pop_Count_Sampling[[#This Row],[ABW (g)]]/1000</f>
        <v>26887.190399999999</v>
      </c>
    </row>
    <row r="133" spans="1:7" ht="24" hidden="1" customHeight="1" x14ac:dyDescent="0.25">
      <c r="A133" t="s">
        <v>21</v>
      </c>
      <c r="B133" s="2">
        <v>4486459</v>
      </c>
      <c r="C133">
        <v>49</v>
      </c>
      <c r="D133">
        <v>12.31</v>
      </c>
      <c r="E133" s="2">
        <v>3283040</v>
      </c>
      <c r="F133" s="1">
        <f>T3_Pop_Count_Sampling[[#This Row],[Est. Pop Count (pcs)]]/T3_Pop_Count_Sampling[[#This Row],[Total Stocked (pcs)]]*100</f>
        <v>73.176641088216783</v>
      </c>
      <c r="G133" s="2">
        <f>T3_Pop_Count_Sampling[[#This Row],[Est. Pop Count (pcs)]]*T3_Pop_Count_Sampling[[#This Row],[ABW (g)]]/1000</f>
        <v>40414.222399999999</v>
      </c>
    </row>
    <row r="134" spans="1:7" ht="24" hidden="1" customHeight="1" x14ac:dyDescent="0.25">
      <c r="A134" t="s">
        <v>22</v>
      </c>
      <c r="B134" s="2">
        <v>4424599</v>
      </c>
      <c r="C134">
        <v>49</v>
      </c>
      <c r="D134">
        <v>13.98</v>
      </c>
      <c r="E134" s="2">
        <v>3259911</v>
      </c>
      <c r="F134" s="1">
        <f>T3_Pop_Count_Sampling[[#This Row],[Est. Pop Count (pcs)]]/T3_Pop_Count_Sampling[[#This Row],[Total Stocked (pcs)]]*100</f>
        <v>73.676981801062652</v>
      </c>
      <c r="G134" s="2">
        <f>T3_Pop_Count_Sampling[[#This Row],[Est. Pop Count (pcs)]]*T3_Pop_Count_Sampling[[#This Row],[ABW (g)]]/1000</f>
        <v>45573.555780000002</v>
      </c>
    </row>
    <row r="135" spans="1:7" ht="24" hidden="1" customHeight="1" x14ac:dyDescent="0.25">
      <c r="A135" t="s">
        <v>23</v>
      </c>
      <c r="B135" s="2">
        <v>4145553</v>
      </c>
      <c r="C135">
        <v>49</v>
      </c>
      <c r="D135">
        <v>14.06</v>
      </c>
      <c r="E135" s="2">
        <v>1653333</v>
      </c>
      <c r="F135" s="1">
        <f>T3_Pop_Count_Sampling[[#This Row],[Est. Pop Count (pcs)]]/T3_Pop_Count_Sampling[[#This Row],[Total Stocked (pcs)]]*100</f>
        <v>39.882085695201582</v>
      </c>
      <c r="G135" s="2">
        <f>T3_Pop_Count_Sampling[[#This Row],[Est. Pop Count (pcs)]]*T3_Pop_Count_Sampling[[#This Row],[ABW (g)]]/1000</f>
        <v>23245.861980000001</v>
      </c>
    </row>
    <row r="136" spans="1:7" ht="24" hidden="1" customHeight="1" x14ac:dyDescent="0.25">
      <c r="A136" t="s">
        <v>24</v>
      </c>
      <c r="B136" s="2">
        <v>4131821</v>
      </c>
      <c r="C136">
        <v>49</v>
      </c>
      <c r="D136">
        <v>13.54</v>
      </c>
      <c r="E136" s="2">
        <v>3022149</v>
      </c>
      <c r="F136" s="1">
        <f>T3_Pop_Count_Sampling[[#This Row],[Est. Pop Count (pcs)]]/T3_Pop_Count_Sampling[[#This Row],[Total Stocked (pcs)]]*100</f>
        <v>73.143270243314035</v>
      </c>
      <c r="G136" s="2">
        <f>T3_Pop_Count_Sampling[[#This Row],[Est. Pop Count (pcs)]]*T3_Pop_Count_Sampling[[#This Row],[ABW (g)]]/1000</f>
        <v>40919.89746</v>
      </c>
    </row>
    <row r="137" spans="1:7" ht="24" hidden="1" customHeight="1" x14ac:dyDescent="0.25">
      <c r="A137" t="s">
        <v>26</v>
      </c>
      <c r="B137" s="2">
        <v>4132532</v>
      </c>
      <c r="C137">
        <v>49</v>
      </c>
      <c r="D137">
        <v>14.49</v>
      </c>
      <c r="E137" s="2">
        <v>3030212</v>
      </c>
      <c r="F137" s="1">
        <f>T3_Pop_Count_Sampling[[#This Row],[Est. Pop Count (pcs)]]/T3_Pop_Count_Sampling[[#This Row],[Total Stocked (pcs)]]*100</f>
        <v>73.325796388267534</v>
      </c>
      <c r="G137" s="2">
        <f>T3_Pop_Count_Sampling[[#This Row],[Est. Pop Count (pcs)]]*T3_Pop_Count_Sampling[[#This Row],[ABW (g)]]/1000</f>
        <v>43907.77188</v>
      </c>
    </row>
    <row r="138" spans="1:7" ht="24" hidden="1" customHeight="1" x14ac:dyDescent="0.25">
      <c r="A138" t="s">
        <v>27</v>
      </c>
      <c r="B138" s="2">
        <v>4186909</v>
      </c>
      <c r="C138">
        <v>49</v>
      </c>
      <c r="D138">
        <v>12.27</v>
      </c>
      <c r="E138" s="2">
        <v>3048590</v>
      </c>
      <c r="F138" s="1">
        <f>T3_Pop_Count_Sampling[[#This Row],[Est. Pop Count (pcs)]]/T3_Pop_Count_Sampling[[#This Row],[Total Stocked (pcs)]]*100</f>
        <v>72.812425586512632</v>
      </c>
      <c r="G138" s="2">
        <f>T3_Pop_Count_Sampling[[#This Row],[Est. Pop Count (pcs)]]*T3_Pop_Count_Sampling[[#This Row],[ABW (g)]]/1000</f>
        <v>37406.1993</v>
      </c>
    </row>
    <row r="139" spans="1:7" ht="24" hidden="1" customHeight="1" x14ac:dyDescent="0.25">
      <c r="A139" t="s">
        <v>28</v>
      </c>
      <c r="B139" s="2">
        <v>4286140</v>
      </c>
      <c r="C139">
        <v>49</v>
      </c>
      <c r="D139">
        <v>10.93</v>
      </c>
      <c r="E139" s="2">
        <v>3137972</v>
      </c>
      <c r="F139" s="1">
        <f>T3_Pop_Count_Sampling[[#This Row],[Est. Pop Count (pcs)]]/T3_Pop_Count_Sampling[[#This Row],[Total Stocked (pcs)]]*100</f>
        <v>73.212074267289452</v>
      </c>
      <c r="G139" s="2">
        <f>T3_Pop_Count_Sampling[[#This Row],[Est. Pop Count (pcs)]]*T3_Pop_Count_Sampling[[#This Row],[ABW (g)]]/1000</f>
        <v>34298.033960000001</v>
      </c>
    </row>
    <row r="140" spans="1:7" ht="24" hidden="1" customHeight="1" x14ac:dyDescent="0.25">
      <c r="A140" t="s">
        <v>29</v>
      </c>
      <c r="B140" s="2">
        <v>4244375</v>
      </c>
      <c r="C140">
        <v>49</v>
      </c>
      <c r="D140">
        <v>14.65</v>
      </c>
      <c r="E140" s="2">
        <v>2160300</v>
      </c>
      <c r="F140" s="1">
        <f>T3_Pop_Count_Sampling[[#This Row],[Est. Pop Count (pcs)]]/T3_Pop_Count_Sampling[[#This Row],[Total Stocked (pcs)]]*100</f>
        <v>50.897953173317624</v>
      </c>
      <c r="G140" s="2">
        <f>T3_Pop_Count_Sampling[[#This Row],[Est. Pop Count (pcs)]]*T3_Pop_Count_Sampling[[#This Row],[ABW (g)]]/1000</f>
        <v>31648.395</v>
      </c>
    </row>
    <row r="141" spans="1:7" ht="24" hidden="1" customHeight="1" x14ac:dyDescent="0.25">
      <c r="A141" t="s">
        <v>30</v>
      </c>
      <c r="B141" s="2">
        <v>4181053</v>
      </c>
      <c r="C141">
        <v>49</v>
      </c>
      <c r="D141">
        <v>12.21</v>
      </c>
      <c r="E141" s="2">
        <v>3051684</v>
      </c>
      <c r="F141" s="1">
        <f>T3_Pop_Count_Sampling[[#This Row],[Est. Pop Count (pcs)]]/T3_Pop_Count_Sampling[[#This Row],[Total Stocked (pcs)]]*100</f>
        <v>72.98840746577477</v>
      </c>
      <c r="G141" s="2">
        <f>T3_Pop_Count_Sampling[[#This Row],[Est. Pop Count (pcs)]]*T3_Pop_Count_Sampling[[#This Row],[ABW (g)]]/1000</f>
        <v>37261.06164</v>
      </c>
    </row>
    <row r="142" spans="1:7" ht="24" hidden="1" customHeight="1" x14ac:dyDescent="0.25">
      <c r="A142" t="s">
        <v>8</v>
      </c>
      <c r="B142" s="2">
        <v>4218543</v>
      </c>
      <c r="C142">
        <v>56</v>
      </c>
      <c r="D142">
        <v>13.73</v>
      </c>
      <c r="E142" s="2">
        <v>3062762</v>
      </c>
      <c r="F142" s="1">
        <f>T3_Pop_Count_Sampling[[#This Row],[Est. Pop Count (pcs)]]/T3_Pop_Count_Sampling[[#This Row],[Total Stocked (pcs)]]*100</f>
        <v>72.602365319021274</v>
      </c>
      <c r="G142" s="2">
        <f>T3_Pop_Count_Sampling[[#This Row],[Est. Pop Count (pcs)]]*T3_Pop_Count_Sampling[[#This Row],[ABW (g)]]/1000</f>
        <v>42051.722259999995</v>
      </c>
    </row>
    <row r="143" spans="1:7" ht="24" hidden="1" customHeight="1" x14ac:dyDescent="0.25">
      <c r="A143" t="s">
        <v>9</v>
      </c>
      <c r="B143" s="2">
        <v>4477821</v>
      </c>
      <c r="C143">
        <v>56</v>
      </c>
      <c r="D143">
        <v>14.5</v>
      </c>
      <c r="E143" s="2">
        <v>3285824</v>
      </c>
      <c r="F143" s="1">
        <f>T3_Pop_Count_Sampling[[#This Row],[Est. Pop Count (pcs)]]/T3_Pop_Count_Sampling[[#This Row],[Total Stocked (pcs)]]*100</f>
        <v>73.379976555561285</v>
      </c>
      <c r="G143" s="2">
        <f>T3_Pop_Count_Sampling[[#This Row],[Est. Pop Count (pcs)]]*T3_Pop_Count_Sampling[[#This Row],[ABW (g)]]/1000</f>
        <v>47644.447999999997</v>
      </c>
    </row>
    <row r="144" spans="1:7" ht="24" hidden="1" customHeight="1" x14ac:dyDescent="0.25">
      <c r="A144" t="s">
        <v>10</v>
      </c>
      <c r="B144" s="2">
        <v>4379397</v>
      </c>
      <c r="C144">
        <v>56</v>
      </c>
      <c r="D144">
        <v>13.17</v>
      </c>
      <c r="E144" s="2">
        <v>3183665</v>
      </c>
      <c r="F144" s="1">
        <f>T3_Pop_Count_Sampling[[#This Row],[Est. Pop Count (pcs)]]/T3_Pop_Count_Sampling[[#This Row],[Total Stocked (pcs)]]*100</f>
        <v>72.696423731394987</v>
      </c>
      <c r="G144" s="2">
        <f>T3_Pop_Count_Sampling[[#This Row],[Est. Pop Count (pcs)]]*T3_Pop_Count_Sampling[[#This Row],[ABW (g)]]/1000</f>
        <v>41928.868049999997</v>
      </c>
    </row>
    <row r="145" spans="1:7" ht="24" hidden="1" customHeight="1" x14ac:dyDescent="0.25">
      <c r="A145" t="s">
        <v>11</v>
      </c>
      <c r="B145" s="2">
        <v>4319396</v>
      </c>
      <c r="C145">
        <v>56</v>
      </c>
      <c r="D145">
        <v>14.57</v>
      </c>
      <c r="E145" s="2">
        <v>2056410</v>
      </c>
      <c r="F145" s="1">
        <f>T3_Pop_Count_Sampling[[#This Row],[Est. Pop Count (pcs)]]/T3_Pop_Count_Sampling[[#This Row],[Total Stocked (pcs)]]*100</f>
        <v>47.608739740463712</v>
      </c>
      <c r="G145" s="2">
        <f>T3_Pop_Count_Sampling[[#This Row],[Est. Pop Count (pcs)]]*T3_Pop_Count_Sampling[[#This Row],[ABW (g)]]/1000</f>
        <v>29961.893700000001</v>
      </c>
    </row>
    <row r="146" spans="1:7" ht="24" hidden="1" customHeight="1" x14ac:dyDescent="0.25">
      <c r="A146" t="s">
        <v>12</v>
      </c>
      <c r="B146" s="2">
        <v>4120208</v>
      </c>
      <c r="C146">
        <v>56</v>
      </c>
      <c r="D146">
        <v>14.31</v>
      </c>
      <c r="E146" s="2">
        <v>3018859</v>
      </c>
      <c r="F146" s="1">
        <f>T3_Pop_Count_Sampling[[#This Row],[Est. Pop Count (pcs)]]/T3_Pop_Count_Sampling[[#This Row],[Total Stocked (pcs)]]*100</f>
        <v>73.269577652390367</v>
      </c>
      <c r="G146" s="2">
        <f>T3_Pop_Count_Sampling[[#This Row],[Est. Pop Count (pcs)]]*T3_Pop_Count_Sampling[[#This Row],[ABW (g)]]/1000</f>
        <v>43199.872289999999</v>
      </c>
    </row>
    <row r="147" spans="1:7" ht="24" hidden="1" customHeight="1" x14ac:dyDescent="0.25">
      <c r="A147" t="s">
        <v>14</v>
      </c>
      <c r="B147" s="2">
        <v>4120198</v>
      </c>
      <c r="C147">
        <v>56</v>
      </c>
      <c r="D147">
        <v>15.09</v>
      </c>
      <c r="E147" s="2">
        <v>1916547</v>
      </c>
      <c r="F147" s="1">
        <f>T3_Pop_Count_Sampling[[#This Row],[Est. Pop Count (pcs)]]/T3_Pop_Count_Sampling[[#This Row],[Total Stocked (pcs)]]*100</f>
        <v>46.51589559530877</v>
      </c>
      <c r="G147" s="2">
        <f>T3_Pop_Count_Sampling[[#This Row],[Est. Pop Count (pcs)]]*T3_Pop_Count_Sampling[[#This Row],[ABW (g)]]/1000</f>
        <v>28920.694230000001</v>
      </c>
    </row>
    <row r="148" spans="1:7" ht="24" hidden="1" customHeight="1" x14ac:dyDescent="0.25">
      <c r="A148" t="s">
        <v>15</v>
      </c>
      <c r="B148" s="2">
        <v>4076138</v>
      </c>
      <c r="C148">
        <v>56</v>
      </c>
      <c r="D148">
        <v>13.81</v>
      </c>
      <c r="E148" s="2">
        <v>1708128</v>
      </c>
      <c r="F148" s="1">
        <f>T3_Pop_Count_Sampling[[#This Row],[Est. Pop Count (pcs)]]/T3_Pop_Count_Sampling[[#This Row],[Total Stocked (pcs)]]*100</f>
        <v>41.905548830780511</v>
      </c>
      <c r="G148" s="2">
        <f>T3_Pop_Count_Sampling[[#This Row],[Est. Pop Count (pcs)]]*T3_Pop_Count_Sampling[[#This Row],[ABW (g)]]/1000</f>
        <v>23589.24768</v>
      </c>
    </row>
    <row r="149" spans="1:7" ht="24" hidden="1" customHeight="1" x14ac:dyDescent="0.25">
      <c r="A149" t="s">
        <v>16</v>
      </c>
      <c r="B149" s="2">
        <v>4439779</v>
      </c>
      <c r="C149">
        <v>56</v>
      </c>
      <c r="D149">
        <v>14.02</v>
      </c>
      <c r="E149" s="2">
        <v>2154873</v>
      </c>
      <c r="F149" s="1">
        <f>T3_Pop_Count_Sampling[[#This Row],[Est. Pop Count (pcs)]]/T3_Pop_Count_Sampling[[#This Row],[Total Stocked (pcs)]]*100</f>
        <v>48.535591523812336</v>
      </c>
      <c r="G149" s="2">
        <f>T3_Pop_Count_Sampling[[#This Row],[Est. Pop Count (pcs)]]*T3_Pop_Count_Sampling[[#This Row],[ABW (g)]]/1000</f>
        <v>30211.319460000002</v>
      </c>
    </row>
    <row r="150" spans="1:7" ht="24" hidden="1" customHeight="1" x14ac:dyDescent="0.25">
      <c r="A150" t="s">
        <v>17</v>
      </c>
      <c r="B150" s="2">
        <v>4320502</v>
      </c>
      <c r="C150">
        <v>56</v>
      </c>
      <c r="D150">
        <v>14.33</v>
      </c>
      <c r="E150" s="2">
        <v>3133904</v>
      </c>
      <c r="F150" s="1">
        <f>T3_Pop_Count_Sampling[[#This Row],[Est. Pop Count (pcs)]]/T3_Pop_Count_Sampling[[#This Row],[Total Stocked (pcs)]]*100</f>
        <v>72.535645163455541</v>
      </c>
      <c r="G150" s="2">
        <f>T3_Pop_Count_Sampling[[#This Row],[Est. Pop Count (pcs)]]*T3_Pop_Count_Sampling[[#This Row],[ABW (g)]]/1000</f>
        <v>44908.844320000004</v>
      </c>
    </row>
    <row r="151" spans="1:7" ht="24" hidden="1" customHeight="1" x14ac:dyDescent="0.25">
      <c r="A151" t="s">
        <v>18</v>
      </c>
      <c r="B151" s="2">
        <v>4368633</v>
      </c>
      <c r="C151">
        <v>56</v>
      </c>
      <c r="D151">
        <v>13.47</v>
      </c>
      <c r="E151" s="2">
        <v>3175156</v>
      </c>
      <c r="F151" s="1">
        <f>T3_Pop_Count_Sampling[[#This Row],[Est. Pop Count (pcs)]]/T3_Pop_Count_Sampling[[#This Row],[Total Stocked (pcs)]]*100</f>
        <v>72.680767645164977</v>
      </c>
      <c r="G151" s="2">
        <f>T3_Pop_Count_Sampling[[#This Row],[Est. Pop Count (pcs)]]*T3_Pop_Count_Sampling[[#This Row],[ABW (g)]]/1000</f>
        <v>42769.351320000002</v>
      </c>
    </row>
    <row r="152" spans="1:7" ht="24" hidden="1" customHeight="1" x14ac:dyDescent="0.25">
      <c r="A152" t="s">
        <v>20</v>
      </c>
      <c r="B152" s="2">
        <v>4059263</v>
      </c>
      <c r="C152">
        <v>56</v>
      </c>
      <c r="D152">
        <v>14.45</v>
      </c>
      <c r="E152" s="2">
        <v>1996310</v>
      </c>
      <c r="F152" s="1">
        <f>T3_Pop_Count_Sampling[[#This Row],[Est. Pop Count (pcs)]]/T3_Pop_Count_Sampling[[#This Row],[Total Stocked (pcs)]]*100</f>
        <v>49.179124387850706</v>
      </c>
      <c r="G152" s="2">
        <f>T3_Pop_Count_Sampling[[#This Row],[Est. Pop Count (pcs)]]*T3_Pop_Count_Sampling[[#This Row],[ABW (g)]]/1000</f>
        <v>28846.679499999998</v>
      </c>
    </row>
    <row r="153" spans="1:7" ht="24" hidden="1" customHeight="1" x14ac:dyDescent="0.25">
      <c r="A153" t="s">
        <v>21</v>
      </c>
      <c r="B153" s="2">
        <v>4486459</v>
      </c>
      <c r="C153">
        <v>56</v>
      </c>
      <c r="D153">
        <v>14.18</v>
      </c>
      <c r="E153" s="2">
        <v>3265884</v>
      </c>
      <c r="F153" s="1">
        <f>T3_Pop_Count_Sampling[[#This Row],[Est. Pop Count (pcs)]]/T3_Pop_Count_Sampling[[#This Row],[Total Stocked (pcs)]]*100</f>
        <v>72.794245974386484</v>
      </c>
      <c r="G153" s="2">
        <f>T3_Pop_Count_Sampling[[#This Row],[Est. Pop Count (pcs)]]*T3_Pop_Count_Sampling[[#This Row],[ABW (g)]]/1000</f>
        <v>46310.235119999998</v>
      </c>
    </row>
    <row r="154" spans="1:7" ht="24" hidden="1" customHeight="1" x14ac:dyDescent="0.25">
      <c r="A154" t="s">
        <v>22</v>
      </c>
      <c r="B154" s="2">
        <v>4424599</v>
      </c>
      <c r="C154">
        <v>56</v>
      </c>
      <c r="D154">
        <v>15.02</v>
      </c>
      <c r="E154" s="2">
        <v>3248753</v>
      </c>
      <c r="F154" s="1">
        <f>T3_Pop_Count_Sampling[[#This Row],[Est. Pop Count (pcs)]]/T3_Pop_Count_Sampling[[#This Row],[Total Stocked (pcs)]]*100</f>
        <v>73.424800755955516</v>
      </c>
      <c r="G154" s="2">
        <f>T3_Pop_Count_Sampling[[#This Row],[Est. Pop Count (pcs)]]*T3_Pop_Count_Sampling[[#This Row],[ABW (g)]]/1000</f>
        <v>48796.270059999995</v>
      </c>
    </row>
    <row r="155" spans="1:7" ht="24" hidden="1" customHeight="1" x14ac:dyDescent="0.25">
      <c r="A155" t="s">
        <v>23</v>
      </c>
      <c r="B155" s="2">
        <v>4145553</v>
      </c>
      <c r="C155">
        <v>56</v>
      </c>
      <c r="D155">
        <v>15.87</v>
      </c>
      <c r="E155" s="2">
        <v>1635780</v>
      </c>
      <c r="F155" s="1">
        <f>T3_Pop_Count_Sampling[[#This Row],[Est. Pop Count (pcs)]]/T3_Pop_Count_Sampling[[#This Row],[Total Stocked (pcs)]]*100</f>
        <v>39.458668119790055</v>
      </c>
      <c r="G155" s="2">
        <f>T3_Pop_Count_Sampling[[#This Row],[Est. Pop Count (pcs)]]*T3_Pop_Count_Sampling[[#This Row],[ABW (g)]]/1000</f>
        <v>25959.828599999997</v>
      </c>
    </row>
    <row r="156" spans="1:7" ht="24" hidden="1" customHeight="1" x14ac:dyDescent="0.25">
      <c r="A156" t="s">
        <v>24</v>
      </c>
      <c r="B156" s="2">
        <v>4131821</v>
      </c>
      <c r="C156">
        <v>56</v>
      </c>
      <c r="D156">
        <v>15.02</v>
      </c>
      <c r="E156" s="2">
        <v>3010366</v>
      </c>
      <c r="F156" s="1">
        <f>T3_Pop_Count_Sampling[[#This Row],[Est. Pop Count (pcs)]]/T3_Pop_Count_Sampling[[#This Row],[Total Stocked (pcs)]]*100</f>
        <v>72.858093320112374</v>
      </c>
      <c r="G156" s="2">
        <f>T3_Pop_Count_Sampling[[#This Row],[Est. Pop Count (pcs)]]*T3_Pop_Count_Sampling[[#This Row],[ABW (g)]]/1000</f>
        <v>45215.697319999999</v>
      </c>
    </row>
    <row r="157" spans="1:7" ht="24" hidden="1" customHeight="1" x14ac:dyDescent="0.25">
      <c r="A157" t="s">
        <v>26</v>
      </c>
      <c r="B157" s="2">
        <v>4132532</v>
      </c>
      <c r="C157">
        <v>56</v>
      </c>
      <c r="D157">
        <v>16.38</v>
      </c>
      <c r="E157" s="2">
        <v>3019804</v>
      </c>
      <c r="F157" s="1">
        <f>T3_Pop_Count_Sampling[[#This Row],[Est. Pop Count (pcs)]]/T3_Pop_Count_Sampling[[#This Row],[Total Stocked (pcs)]]*100</f>
        <v>73.073941109227945</v>
      </c>
      <c r="G157" s="2">
        <f>T3_Pop_Count_Sampling[[#This Row],[Est. Pop Count (pcs)]]*T3_Pop_Count_Sampling[[#This Row],[ABW (g)]]/1000</f>
        <v>49464.389519999997</v>
      </c>
    </row>
    <row r="158" spans="1:7" ht="24" hidden="1" customHeight="1" x14ac:dyDescent="0.25">
      <c r="A158" t="s">
        <v>27</v>
      </c>
      <c r="B158" s="2">
        <v>4186909</v>
      </c>
      <c r="C158">
        <v>56</v>
      </c>
      <c r="D158">
        <v>13.33</v>
      </c>
      <c r="E158" s="2">
        <v>3043583</v>
      </c>
      <c r="F158" s="1">
        <f>T3_Pop_Count_Sampling[[#This Row],[Est. Pop Count (pcs)]]/T3_Pop_Count_Sampling[[#This Row],[Total Stocked (pcs)]]*100</f>
        <v>72.692838559424146</v>
      </c>
      <c r="G158" s="2">
        <f>T3_Pop_Count_Sampling[[#This Row],[Est. Pop Count (pcs)]]*T3_Pop_Count_Sampling[[#This Row],[ABW (g)]]/1000</f>
        <v>40570.961390000004</v>
      </c>
    </row>
    <row r="159" spans="1:7" ht="24" hidden="1" customHeight="1" x14ac:dyDescent="0.25">
      <c r="A159" t="s">
        <v>28</v>
      </c>
      <c r="B159" s="2">
        <v>4286140</v>
      </c>
      <c r="C159">
        <v>56</v>
      </c>
      <c r="D159">
        <v>12.43</v>
      </c>
      <c r="E159" s="2">
        <v>3130080</v>
      </c>
      <c r="F159" s="1">
        <f>T3_Pop_Count_Sampling[[#This Row],[Est. Pop Count (pcs)]]/T3_Pop_Count_Sampling[[#This Row],[Total Stocked (pcs)]]*100</f>
        <v>73.027945890708196</v>
      </c>
      <c r="G159" s="2">
        <f>T3_Pop_Count_Sampling[[#This Row],[Est. Pop Count (pcs)]]*T3_Pop_Count_Sampling[[#This Row],[ABW (g)]]/1000</f>
        <v>38906.894399999997</v>
      </c>
    </row>
    <row r="160" spans="1:7" ht="24" hidden="1" customHeight="1" x14ac:dyDescent="0.25">
      <c r="A160" t="s">
        <v>29</v>
      </c>
      <c r="B160" s="2">
        <v>4244375</v>
      </c>
      <c r="C160">
        <v>56</v>
      </c>
      <c r="D160">
        <v>16.52</v>
      </c>
      <c r="E160" s="2">
        <v>2102805</v>
      </c>
      <c r="F160" s="1">
        <f>T3_Pop_Count_Sampling[[#This Row],[Est. Pop Count (pcs)]]/T3_Pop_Count_Sampling[[#This Row],[Total Stocked (pcs)]]*100</f>
        <v>49.543336769253422</v>
      </c>
      <c r="G160" s="2">
        <f>T3_Pop_Count_Sampling[[#This Row],[Est. Pop Count (pcs)]]*T3_Pop_Count_Sampling[[#This Row],[ABW (g)]]/1000</f>
        <v>34738.338600000003</v>
      </c>
    </row>
    <row r="161" spans="1:7" ht="24" hidden="1" customHeight="1" x14ac:dyDescent="0.25">
      <c r="A161" t="s">
        <v>30</v>
      </c>
      <c r="B161" s="2">
        <v>4181053</v>
      </c>
      <c r="C161">
        <v>56</v>
      </c>
      <c r="D161">
        <v>13.68</v>
      </c>
      <c r="E161" s="2">
        <v>3043078</v>
      </c>
      <c r="F161" s="1">
        <f>T3_Pop_Count_Sampling[[#This Row],[Est. Pop Count (pcs)]]/T3_Pop_Count_Sampling[[#This Row],[Total Stocked (pcs)]]*100</f>
        <v>72.78257415057881</v>
      </c>
      <c r="G161" s="2">
        <f>T3_Pop_Count_Sampling[[#This Row],[Est. Pop Count (pcs)]]*T3_Pop_Count_Sampling[[#This Row],[ABW (g)]]/1000</f>
        <v>41629.30704</v>
      </c>
    </row>
    <row r="162" spans="1:7" ht="24" customHeight="1" x14ac:dyDescent="0.25">
      <c r="A162" t="s">
        <v>8</v>
      </c>
      <c r="B162" s="2">
        <v>4218543</v>
      </c>
      <c r="C162">
        <v>60</v>
      </c>
      <c r="D162">
        <v>14.6</v>
      </c>
      <c r="E162" s="2">
        <v>3049155</v>
      </c>
      <c r="F162" s="1">
        <f>T3_Pop_Count_Sampling[[#This Row],[Est. Pop Count (pcs)]]/T3_Pop_Count_Sampling[[#This Row],[Total Stocked (pcs)]]*100</f>
        <v>72.279813196167495</v>
      </c>
      <c r="G162" s="2">
        <f>T3_Pop_Count_Sampling[[#This Row],[Est. Pop Count (pcs)]]*T3_Pop_Count_Sampling[[#This Row],[ABW (g)]]/1000</f>
        <v>44517.663</v>
      </c>
    </row>
    <row r="163" spans="1:7" ht="24" customHeight="1" x14ac:dyDescent="0.25">
      <c r="A163" t="s">
        <v>9</v>
      </c>
      <c r="B163" s="2">
        <v>4477821</v>
      </c>
      <c r="C163">
        <v>60</v>
      </c>
      <c r="D163">
        <v>15.27</v>
      </c>
      <c r="E163" s="2">
        <v>3273994</v>
      </c>
      <c r="F163" s="1">
        <f>T3_Pop_Count_Sampling[[#This Row],[Est. Pop Count (pcs)]]/T3_Pop_Count_Sampling[[#This Row],[Total Stocked (pcs)]]*100</f>
        <v>73.115785557305671</v>
      </c>
      <c r="G163" s="2">
        <f>T3_Pop_Count_Sampling[[#This Row],[Est. Pop Count (pcs)]]*T3_Pop_Count_Sampling[[#This Row],[ABW (g)]]/1000</f>
        <v>49993.888379999997</v>
      </c>
    </row>
    <row r="164" spans="1:7" ht="24" customHeight="1" x14ac:dyDescent="0.25">
      <c r="A164" t="s">
        <v>10</v>
      </c>
      <c r="B164" s="2">
        <v>4379397</v>
      </c>
      <c r="C164">
        <v>60</v>
      </c>
      <c r="D164">
        <v>14.24</v>
      </c>
      <c r="E164" s="2">
        <v>3179348</v>
      </c>
      <c r="F164" s="1">
        <f>T3_Pop_Count_Sampling[[#This Row],[Est. Pop Count (pcs)]]/T3_Pop_Count_Sampling[[#This Row],[Total Stocked (pcs)]]*100</f>
        <v>72.597848516588016</v>
      </c>
      <c r="G164" s="2">
        <f>T3_Pop_Count_Sampling[[#This Row],[Est. Pop Count (pcs)]]*T3_Pop_Count_Sampling[[#This Row],[ABW (g)]]/1000</f>
        <v>45273.915520000002</v>
      </c>
    </row>
    <row r="165" spans="1:7" ht="24" customHeight="1" x14ac:dyDescent="0.25">
      <c r="A165" t="s">
        <v>11</v>
      </c>
      <c r="B165" s="2">
        <v>4319396</v>
      </c>
      <c r="C165">
        <v>60</v>
      </c>
      <c r="D165">
        <v>15.57</v>
      </c>
      <c r="E165" s="2">
        <v>2044152</v>
      </c>
      <c r="F165" s="1">
        <f>T3_Pop_Count_Sampling[[#This Row],[Est. Pop Count (pcs)]]/T3_Pop_Count_Sampling[[#This Row],[Total Stocked (pcs)]]*100</f>
        <v>47.324950062462435</v>
      </c>
      <c r="G165" s="2">
        <f>T3_Pop_Count_Sampling[[#This Row],[Est. Pop Count (pcs)]]*T3_Pop_Count_Sampling[[#This Row],[ABW (g)]]/1000</f>
        <v>31827.446640000002</v>
      </c>
    </row>
    <row r="166" spans="1:7" ht="24" customHeight="1" x14ac:dyDescent="0.25">
      <c r="A166" t="s">
        <v>12</v>
      </c>
      <c r="B166" s="2">
        <v>4120208</v>
      </c>
      <c r="C166">
        <v>60</v>
      </c>
      <c r="D166">
        <v>15.32</v>
      </c>
      <c r="E166" s="2">
        <v>3007600</v>
      </c>
      <c r="F166" s="1">
        <f>T3_Pop_Count_Sampling[[#This Row],[Est. Pop Count (pcs)]]/T3_Pop_Count_Sampling[[#This Row],[Total Stocked (pcs)]]*100</f>
        <v>72.996314749158302</v>
      </c>
      <c r="G166" s="2">
        <f>T3_Pop_Count_Sampling[[#This Row],[Est. Pop Count (pcs)]]*T3_Pop_Count_Sampling[[#This Row],[ABW (g)]]/1000</f>
        <v>46076.432000000001</v>
      </c>
    </row>
    <row r="167" spans="1:7" ht="24" customHeight="1" x14ac:dyDescent="0.25">
      <c r="A167" t="s">
        <v>14</v>
      </c>
      <c r="B167" s="2">
        <v>4120198</v>
      </c>
      <c r="C167">
        <v>60</v>
      </c>
      <c r="D167">
        <v>15.9</v>
      </c>
      <c r="E167" s="2">
        <v>1890342</v>
      </c>
      <c r="F167" s="1">
        <f>T3_Pop_Count_Sampling[[#This Row],[Est. Pop Count (pcs)]]/T3_Pop_Count_Sampling[[#This Row],[Total Stocked (pcs)]]*100</f>
        <v>45.879882471667621</v>
      </c>
      <c r="G167" s="2">
        <f>T3_Pop_Count_Sampling[[#This Row],[Est. Pop Count (pcs)]]*T3_Pop_Count_Sampling[[#This Row],[ABW (g)]]/1000</f>
        <v>30056.4378</v>
      </c>
    </row>
    <row r="168" spans="1:7" ht="24" customHeight="1" x14ac:dyDescent="0.25">
      <c r="A168" t="s">
        <v>15</v>
      </c>
      <c r="B168" s="2">
        <v>4076138</v>
      </c>
      <c r="C168">
        <v>60</v>
      </c>
      <c r="D168">
        <v>14.6</v>
      </c>
      <c r="E168" s="2">
        <v>1696372</v>
      </c>
      <c r="F168" s="1">
        <f>T3_Pop_Count_Sampling[[#This Row],[Est. Pop Count (pcs)]]/T3_Pop_Count_Sampling[[#This Row],[Total Stocked (pcs)]]*100</f>
        <v>41.617138575779329</v>
      </c>
      <c r="G168" s="2">
        <f>T3_Pop_Count_Sampling[[#This Row],[Est. Pop Count (pcs)]]*T3_Pop_Count_Sampling[[#This Row],[ABW (g)]]/1000</f>
        <v>24767.031199999998</v>
      </c>
    </row>
    <row r="169" spans="1:7" ht="24" customHeight="1" x14ac:dyDescent="0.25">
      <c r="A169" t="s">
        <v>16</v>
      </c>
      <c r="B169" s="2">
        <v>4439779</v>
      </c>
      <c r="C169">
        <v>60</v>
      </c>
      <c r="D169">
        <v>14.73</v>
      </c>
      <c r="E169" s="2">
        <v>2141695</v>
      </c>
      <c r="F169" s="1">
        <f>T3_Pop_Count_Sampling[[#This Row],[Est. Pop Count (pcs)]]/T3_Pop_Count_Sampling[[#This Row],[Total Stocked (pcs)]]*100</f>
        <v>48.238774948032329</v>
      </c>
      <c r="G169" s="2">
        <f>T3_Pop_Count_Sampling[[#This Row],[Est. Pop Count (pcs)]]*T3_Pop_Count_Sampling[[#This Row],[ABW (g)]]/1000</f>
        <v>31547.16735</v>
      </c>
    </row>
    <row r="170" spans="1:7" ht="24" customHeight="1" x14ac:dyDescent="0.25">
      <c r="A170" t="s">
        <v>17</v>
      </c>
      <c r="B170" s="2">
        <v>4320502</v>
      </c>
      <c r="C170">
        <v>60</v>
      </c>
      <c r="D170">
        <v>14.93</v>
      </c>
      <c r="E170" s="2">
        <v>3118819</v>
      </c>
      <c r="F170" s="1">
        <f>T3_Pop_Count_Sampling[[#This Row],[Est. Pop Count (pcs)]]/T3_Pop_Count_Sampling[[#This Row],[Total Stocked (pcs)]]*100</f>
        <v>72.186495921075831</v>
      </c>
      <c r="G170" s="2">
        <f>T3_Pop_Count_Sampling[[#This Row],[Est. Pop Count (pcs)]]*T3_Pop_Count_Sampling[[#This Row],[ABW (g)]]/1000</f>
        <v>46563.967669999998</v>
      </c>
    </row>
    <row r="171" spans="1:7" ht="24" customHeight="1" x14ac:dyDescent="0.25">
      <c r="A171" t="s">
        <v>18</v>
      </c>
      <c r="B171" s="2">
        <v>4368633</v>
      </c>
      <c r="C171">
        <v>60</v>
      </c>
      <c r="D171">
        <v>14.49</v>
      </c>
      <c r="E171" s="2">
        <v>3172525</v>
      </c>
      <c r="F171" s="1">
        <f>T3_Pop_Count_Sampling[[#This Row],[Est. Pop Count (pcs)]]/T3_Pop_Count_Sampling[[#This Row],[Total Stocked (pcs)]]*100</f>
        <v>72.620542856312269</v>
      </c>
      <c r="G171" s="2">
        <f>T3_Pop_Count_Sampling[[#This Row],[Est. Pop Count (pcs)]]*T3_Pop_Count_Sampling[[#This Row],[ABW (g)]]/1000</f>
        <v>45969.88725</v>
      </c>
    </row>
    <row r="172" spans="1:7" ht="24" customHeight="1" x14ac:dyDescent="0.25">
      <c r="A172" t="s">
        <v>20</v>
      </c>
      <c r="B172" s="2">
        <v>4059263</v>
      </c>
      <c r="C172">
        <v>60</v>
      </c>
      <c r="D172">
        <v>15.44</v>
      </c>
      <c r="E172" s="2">
        <v>1975460</v>
      </c>
      <c r="F172" s="1">
        <f>T3_Pop_Count_Sampling[[#This Row],[Est. Pop Count (pcs)]]/T3_Pop_Count_Sampling[[#This Row],[Total Stocked (pcs)]]*100</f>
        <v>48.665484350237961</v>
      </c>
      <c r="G172" s="2">
        <f>T3_Pop_Count_Sampling[[#This Row],[Est. Pop Count (pcs)]]*T3_Pop_Count_Sampling[[#This Row],[ABW (g)]]/1000</f>
        <v>30501.1024</v>
      </c>
    </row>
    <row r="173" spans="1:7" ht="24" customHeight="1" x14ac:dyDescent="0.25">
      <c r="A173" t="s">
        <v>21</v>
      </c>
      <c r="B173" s="2">
        <v>4486459</v>
      </c>
      <c r="C173">
        <v>60</v>
      </c>
      <c r="D173">
        <v>15.27</v>
      </c>
      <c r="E173" s="2">
        <v>3252712</v>
      </c>
      <c r="F173" s="1">
        <f>T3_Pop_Count_Sampling[[#This Row],[Est. Pop Count (pcs)]]/T3_Pop_Count_Sampling[[#This Row],[Total Stocked (pcs)]]*100</f>
        <v>72.500651404593242</v>
      </c>
      <c r="G173" s="2">
        <f>T3_Pop_Count_Sampling[[#This Row],[Est. Pop Count (pcs)]]*T3_Pop_Count_Sampling[[#This Row],[ABW (g)]]/1000</f>
        <v>49668.912240000005</v>
      </c>
    </row>
    <row r="174" spans="1:7" ht="24" customHeight="1" x14ac:dyDescent="0.25">
      <c r="A174" t="s">
        <v>22</v>
      </c>
      <c r="B174" s="2">
        <v>4424599</v>
      </c>
      <c r="C174">
        <v>60</v>
      </c>
      <c r="D174">
        <v>16.100000000000001</v>
      </c>
      <c r="E174" s="2">
        <v>3243933</v>
      </c>
      <c r="F174" s="1">
        <f>T3_Pop_Count_Sampling[[#This Row],[Est. Pop Count (pcs)]]/T3_Pop_Count_Sampling[[#This Row],[Total Stocked (pcs)]]*100</f>
        <v>73.315864330304279</v>
      </c>
      <c r="G174" s="2">
        <f>T3_Pop_Count_Sampling[[#This Row],[Est. Pop Count (pcs)]]*T3_Pop_Count_Sampling[[#This Row],[ABW (g)]]/1000</f>
        <v>52227.321300000003</v>
      </c>
    </row>
    <row r="175" spans="1:7" ht="24" customHeight="1" x14ac:dyDescent="0.25">
      <c r="A175" t="s">
        <v>23</v>
      </c>
      <c r="B175" s="2">
        <v>4145553</v>
      </c>
      <c r="C175">
        <v>60</v>
      </c>
      <c r="D175">
        <v>16.72</v>
      </c>
      <c r="E175" s="2">
        <v>1593700</v>
      </c>
      <c r="F175" s="1">
        <f>T3_Pop_Count_Sampling[[#This Row],[Est. Pop Count (pcs)]]/T3_Pop_Count_Sampling[[#This Row],[Total Stocked (pcs)]]*100</f>
        <v>38.443604508252577</v>
      </c>
      <c r="G175" s="2">
        <f>T3_Pop_Count_Sampling[[#This Row],[Est. Pop Count (pcs)]]*T3_Pop_Count_Sampling[[#This Row],[ABW (g)]]/1000</f>
        <v>26646.664000000001</v>
      </c>
    </row>
    <row r="176" spans="1:7" ht="24" customHeight="1" x14ac:dyDescent="0.25">
      <c r="A176" t="s">
        <v>24</v>
      </c>
      <c r="B176" s="2">
        <v>4131821</v>
      </c>
      <c r="C176">
        <v>60</v>
      </c>
      <c r="D176">
        <v>15.98</v>
      </c>
      <c r="E176" s="2">
        <v>2994795</v>
      </c>
      <c r="F176" s="1">
        <f>T3_Pop_Count_Sampling[[#This Row],[Est. Pop Count (pcs)]]/T3_Pop_Count_Sampling[[#This Row],[Total Stocked (pcs)]]*100</f>
        <v>72.481237691565042</v>
      </c>
      <c r="G176" s="2">
        <f>T3_Pop_Count_Sampling[[#This Row],[Est. Pop Count (pcs)]]*T3_Pop_Count_Sampling[[#This Row],[ABW (g)]]/1000</f>
        <v>47856.824099999998</v>
      </c>
    </row>
    <row r="177" spans="1:7" ht="24" customHeight="1" x14ac:dyDescent="0.25">
      <c r="A177" t="s">
        <v>26</v>
      </c>
      <c r="B177" s="2">
        <v>4132532</v>
      </c>
      <c r="C177">
        <v>60</v>
      </c>
      <c r="D177">
        <v>17.440000000000001</v>
      </c>
      <c r="E177" s="2">
        <v>3009333</v>
      </c>
      <c r="F177" s="1">
        <f>T3_Pop_Count_Sampling[[#This Row],[Est. Pop Count (pcs)]]/T3_Pop_Count_Sampling[[#This Row],[Total Stocked (pcs)]]*100</f>
        <v>72.820561341085792</v>
      </c>
      <c r="G177" s="2">
        <f>T3_Pop_Count_Sampling[[#This Row],[Est. Pop Count (pcs)]]*T3_Pop_Count_Sampling[[#This Row],[ABW (g)]]/1000</f>
        <v>52482.767520000001</v>
      </c>
    </row>
    <row r="178" spans="1:7" ht="24" customHeight="1" x14ac:dyDescent="0.25">
      <c r="A178" t="s">
        <v>27</v>
      </c>
      <c r="B178" s="2">
        <v>4186909</v>
      </c>
      <c r="C178">
        <v>60</v>
      </c>
      <c r="D178">
        <v>14.34</v>
      </c>
      <c r="E178" s="2">
        <v>3028322</v>
      </c>
      <c r="F178" s="1">
        <f>T3_Pop_Count_Sampling[[#This Row],[Est. Pop Count (pcs)]]/T3_Pop_Count_Sampling[[#This Row],[Total Stocked (pcs)]]*100</f>
        <v>72.328345325871666</v>
      </c>
      <c r="G178" s="2">
        <f>T3_Pop_Count_Sampling[[#This Row],[Est. Pop Count (pcs)]]*T3_Pop_Count_Sampling[[#This Row],[ABW (g)]]/1000</f>
        <v>43426.137479999998</v>
      </c>
    </row>
    <row r="179" spans="1:7" ht="24" customHeight="1" x14ac:dyDescent="0.25">
      <c r="A179" t="s">
        <v>28</v>
      </c>
      <c r="B179" s="2">
        <v>4286140</v>
      </c>
      <c r="C179">
        <v>60</v>
      </c>
      <c r="D179">
        <v>13.12</v>
      </c>
      <c r="E179" s="2">
        <v>3122342</v>
      </c>
      <c r="F179" s="1">
        <f>T3_Pop_Count_Sampling[[#This Row],[Est. Pop Count (pcs)]]/T3_Pop_Count_Sampling[[#This Row],[Total Stocked (pcs)]]*100</f>
        <v>72.847410490557934</v>
      </c>
      <c r="G179" s="2">
        <f>T3_Pop_Count_Sampling[[#This Row],[Est. Pop Count (pcs)]]*T3_Pop_Count_Sampling[[#This Row],[ABW (g)]]/1000</f>
        <v>40965.127039999999</v>
      </c>
    </row>
    <row r="180" spans="1:7" ht="24" customHeight="1" x14ac:dyDescent="0.25">
      <c r="A180" t="s">
        <v>29</v>
      </c>
      <c r="B180" s="2">
        <v>4244375</v>
      </c>
      <c r="C180">
        <v>60</v>
      </c>
      <c r="D180">
        <v>17.32</v>
      </c>
      <c r="E180" s="2">
        <v>2056375</v>
      </c>
      <c r="F180" s="1">
        <f>T3_Pop_Count_Sampling[[#This Row],[Est. Pop Count (pcs)]]/T3_Pop_Count_Sampling[[#This Row],[Total Stocked (pcs)]]*100</f>
        <v>48.449418347813285</v>
      </c>
      <c r="G180" s="2">
        <f>T3_Pop_Count_Sampling[[#This Row],[Est. Pop Count (pcs)]]*T3_Pop_Count_Sampling[[#This Row],[ABW (g)]]/1000</f>
        <v>35616.415000000001</v>
      </c>
    </row>
    <row r="181" spans="1:7" ht="24" customHeight="1" x14ac:dyDescent="0.25">
      <c r="A181" t="s">
        <v>30</v>
      </c>
      <c r="B181" s="2">
        <v>4181053</v>
      </c>
      <c r="C181">
        <v>60</v>
      </c>
      <c r="D181">
        <v>14.32</v>
      </c>
      <c r="E181" s="2">
        <v>3040339</v>
      </c>
      <c r="F181" s="1">
        <f>T3_Pop_Count_Sampling[[#This Row],[Est. Pop Count (pcs)]]/T3_Pop_Count_Sampling[[#This Row],[Total Stocked (pcs)]]*100</f>
        <v>72.717064337620201</v>
      </c>
      <c r="G181" s="2">
        <f>T3_Pop_Count_Sampling[[#This Row],[Est. Pop Count (pcs)]]*T3_Pop_Count_Sampling[[#This Row],[ABW (g)]]/1000</f>
        <v>43537.654480000005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201"/>
  <sheetViews>
    <sheetView topLeftCell="C1" zoomScale="90" zoomScaleNormal="90" workbookViewId="0">
      <selection activeCell="M4" sqref="M4"/>
    </sheetView>
  </sheetViews>
  <sheetFormatPr defaultRowHeight="21.75" customHeight="1" x14ac:dyDescent="0.25"/>
  <cols>
    <col min="1" max="1" width="11.85546875" customWidth="1"/>
    <col min="2" max="2" width="12.42578125" bestFit="1" customWidth="1"/>
    <col min="3" max="3" width="13.7109375" bestFit="1" customWidth="1"/>
    <col min="4" max="4" width="17.140625" style="2" bestFit="1" customWidth="1"/>
    <col min="5" max="5" width="20.85546875" bestFit="1" customWidth="1"/>
    <col min="6" max="6" width="20.85546875" customWidth="1"/>
    <col min="7" max="7" width="20.5703125" style="2" bestFit="1" customWidth="1"/>
    <col min="8" max="8" width="24.140625" style="2" bestFit="1" customWidth="1"/>
    <col min="9" max="9" width="22.140625" bestFit="1" customWidth="1"/>
    <col min="10" max="10" width="22.85546875" style="2" bestFit="1" customWidth="1"/>
  </cols>
  <sheetData>
    <row r="1" spans="1:10" s="11" customFormat="1" ht="21.75" customHeight="1" x14ac:dyDescent="0.25">
      <c r="A1" s="14" t="s">
        <v>48</v>
      </c>
      <c r="B1" s="9" t="s">
        <v>1</v>
      </c>
      <c r="C1" s="9" t="s">
        <v>2</v>
      </c>
      <c r="D1" s="10" t="s">
        <v>31</v>
      </c>
      <c r="E1" s="9" t="s">
        <v>47</v>
      </c>
      <c r="F1" s="9" t="s">
        <v>46</v>
      </c>
      <c r="G1" s="10" t="s">
        <v>32</v>
      </c>
      <c r="H1" s="10" t="s">
        <v>33</v>
      </c>
      <c r="I1" s="9" t="s">
        <v>34</v>
      </c>
      <c r="J1" s="10" t="s">
        <v>35</v>
      </c>
    </row>
    <row r="2" spans="1:10" ht="21.75" customHeight="1" x14ac:dyDescent="0.25">
      <c r="A2" s="13">
        <v>46023</v>
      </c>
      <c r="B2" t="s">
        <v>8</v>
      </c>
      <c r="C2">
        <v>9.3699999999999992</v>
      </c>
      <c r="D2" s="2">
        <v>4218543</v>
      </c>
      <c r="E2">
        <v>3.22</v>
      </c>
      <c r="F2">
        <v>1</v>
      </c>
      <c r="G2" s="2">
        <v>4218543</v>
      </c>
      <c r="H2" s="2">
        <f>T2_Daily_Feed_Req[[#This Row],[Weekly ABW (g)]]*T2_Daily_Feed_Req[[#This Row],[Latest Pop Count]]/1000</f>
        <v>13583.708460000002</v>
      </c>
      <c r="I2">
        <f>VLOOKUP(T2_Daily_Feed_Req[[#This Row],[Weekly ABW (g)]],MAIN!$A$2:$B$10,2,TRUE)</f>
        <v>7</v>
      </c>
      <c r="J2" s="2">
        <f>T2_Daily_Feed_Req[[#This Row],[Current Biomass (kg)]]*T2_Daily_Feed_Req[[#This Row],[Calc Feed Rate (%)]]/100</f>
        <v>950.85959220000018</v>
      </c>
    </row>
    <row r="3" spans="1:10" ht="21.75" customHeight="1" x14ac:dyDescent="0.25">
      <c r="A3" s="13">
        <v>46023</v>
      </c>
      <c r="B3" t="s">
        <v>9</v>
      </c>
      <c r="C3">
        <v>9.9499999999999993</v>
      </c>
      <c r="D3" s="2">
        <v>4477821</v>
      </c>
      <c r="E3">
        <v>2.2799999999999998</v>
      </c>
      <c r="F3">
        <v>1</v>
      </c>
      <c r="G3" s="2">
        <v>4477821</v>
      </c>
      <c r="H3" s="2">
        <f>T2_Daily_Feed_Req[[#This Row],[Weekly ABW (g)]]*T2_Daily_Feed_Req[[#This Row],[Latest Pop Count]]/1000</f>
        <v>10209.431879999998</v>
      </c>
      <c r="I3">
        <f>VLOOKUP(T2_Daily_Feed_Req[[#This Row],[Weekly ABW (g)]],MAIN!$A$2:$B$10,2,TRUE)</f>
        <v>8</v>
      </c>
      <c r="J3" s="2">
        <f>T2_Daily_Feed_Req[[#This Row],[Current Biomass (kg)]]*T2_Daily_Feed_Req[[#This Row],[Calc Feed Rate (%)]]/100</f>
        <v>816.75455039999986</v>
      </c>
    </row>
    <row r="4" spans="1:10" ht="21.75" customHeight="1" x14ac:dyDescent="0.25">
      <c r="A4" s="13">
        <v>46023</v>
      </c>
      <c r="B4" t="s">
        <v>10</v>
      </c>
      <c r="C4">
        <v>9.73</v>
      </c>
      <c r="D4" s="2">
        <v>4379397</v>
      </c>
      <c r="E4">
        <v>2.58</v>
      </c>
      <c r="F4">
        <v>1</v>
      </c>
      <c r="G4" s="2">
        <v>4379397</v>
      </c>
      <c r="H4" s="2">
        <f>T2_Daily_Feed_Req[[#This Row],[Weekly ABW (g)]]*T2_Daily_Feed_Req[[#This Row],[Latest Pop Count]]/1000</f>
        <v>11298.84426</v>
      </c>
      <c r="I4">
        <f>VLOOKUP(T2_Daily_Feed_Req[[#This Row],[Weekly ABW (g)]],MAIN!$A$2:$B$10,2,TRUE)</f>
        <v>8</v>
      </c>
      <c r="J4" s="2">
        <f>T2_Daily_Feed_Req[[#This Row],[Current Biomass (kg)]]*T2_Daily_Feed_Req[[#This Row],[Calc Feed Rate (%)]]/100</f>
        <v>903.90754079999999</v>
      </c>
    </row>
    <row r="5" spans="1:10" ht="21.75" customHeight="1" x14ac:dyDescent="0.25">
      <c r="A5" s="13">
        <v>46023</v>
      </c>
      <c r="B5" t="s">
        <v>11</v>
      </c>
      <c r="C5">
        <v>9.6</v>
      </c>
      <c r="D5" s="2">
        <v>4319396</v>
      </c>
      <c r="E5">
        <v>2.73</v>
      </c>
      <c r="F5">
        <v>1</v>
      </c>
      <c r="G5" s="2">
        <v>4319396</v>
      </c>
      <c r="H5" s="2">
        <f>T2_Daily_Feed_Req[[#This Row],[Weekly ABW (g)]]*T2_Daily_Feed_Req[[#This Row],[Latest Pop Count]]/1000</f>
        <v>11791.951080000001</v>
      </c>
      <c r="I5">
        <f>VLOOKUP(T2_Daily_Feed_Req[[#This Row],[Weekly ABW (g)]],MAIN!$A$2:$B$10,2,TRUE)</f>
        <v>8</v>
      </c>
      <c r="J5" s="2">
        <f>T2_Daily_Feed_Req[[#This Row],[Current Biomass (kg)]]*T2_Daily_Feed_Req[[#This Row],[Calc Feed Rate (%)]]/100</f>
        <v>943.35608640000009</v>
      </c>
    </row>
    <row r="6" spans="1:10" ht="21.75" customHeight="1" x14ac:dyDescent="0.25">
      <c r="A6" s="13">
        <v>46023</v>
      </c>
      <c r="B6" t="s">
        <v>12</v>
      </c>
      <c r="C6">
        <v>9.16</v>
      </c>
      <c r="D6" s="2">
        <v>4120208</v>
      </c>
      <c r="E6">
        <v>2.91</v>
      </c>
      <c r="F6">
        <v>1</v>
      </c>
      <c r="G6" s="2">
        <v>4120208</v>
      </c>
      <c r="H6" s="2">
        <f>T2_Daily_Feed_Req[[#This Row],[Weekly ABW (g)]]*T2_Daily_Feed_Req[[#This Row],[Latest Pop Count]]/1000</f>
        <v>11989.80528</v>
      </c>
      <c r="I6">
        <f>VLOOKUP(T2_Daily_Feed_Req[[#This Row],[Weekly ABW (g)]],MAIN!$A$2:$B$10,2,TRUE)</f>
        <v>8</v>
      </c>
      <c r="J6" s="2">
        <f>T2_Daily_Feed_Req[[#This Row],[Current Biomass (kg)]]*T2_Daily_Feed_Req[[#This Row],[Calc Feed Rate (%)]]/100</f>
        <v>959.18442240000002</v>
      </c>
    </row>
    <row r="7" spans="1:10" ht="21.75" customHeight="1" x14ac:dyDescent="0.25">
      <c r="A7" s="13">
        <v>46024</v>
      </c>
      <c r="B7" t="s">
        <v>14</v>
      </c>
      <c r="C7">
        <v>9.16</v>
      </c>
      <c r="D7" s="2">
        <v>4120198</v>
      </c>
      <c r="E7">
        <v>3.57</v>
      </c>
      <c r="F7">
        <v>1</v>
      </c>
      <c r="G7" s="2">
        <v>4120198</v>
      </c>
      <c r="H7" s="2">
        <f>T2_Daily_Feed_Req[[#This Row],[Weekly ABW (g)]]*T2_Daily_Feed_Req[[#This Row],[Latest Pop Count]]/1000</f>
        <v>14709.10686</v>
      </c>
      <c r="I7">
        <f>VLOOKUP(T2_Daily_Feed_Req[[#This Row],[Weekly ABW (g)]],MAIN!$A$2:$B$10,2,TRUE)</f>
        <v>7</v>
      </c>
      <c r="J7" s="2">
        <f>T2_Daily_Feed_Req[[#This Row],[Current Biomass (kg)]]*T2_Daily_Feed_Req[[#This Row],[Calc Feed Rate (%)]]/100</f>
        <v>1029.6374802</v>
      </c>
    </row>
    <row r="8" spans="1:10" ht="21.75" customHeight="1" x14ac:dyDescent="0.25">
      <c r="A8" s="13">
        <v>46024</v>
      </c>
      <c r="B8" t="s">
        <v>15</v>
      </c>
      <c r="C8">
        <v>9.06</v>
      </c>
      <c r="D8" s="2">
        <v>4076138</v>
      </c>
      <c r="E8">
        <v>2.4</v>
      </c>
      <c r="F8">
        <v>1</v>
      </c>
      <c r="G8" s="2">
        <v>4076138</v>
      </c>
      <c r="H8" s="2">
        <f>T2_Daily_Feed_Req[[#This Row],[Weekly ABW (g)]]*T2_Daily_Feed_Req[[#This Row],[Latest Pop Count]]/1000</f>
        <v>9782.7311999999984</v>
      </c>
      <c r="I8">
        <f>VLOOKUP(T2_Daily_Feed_Req[[#This Row],[Weekly ABW (g)]],MAIN!$A$2:$B$10,2,TRUE)</f>
        <v>8</v>
      </c>
      <c r="J8" s="2">
        <f>T2_Daily_Feed_Req[[#This Row],[Current Biomass (kg)]]*T2_Daily_Feed_Req[[#This Row],[Calc Feed Rate (%)]]/100</f>
        <v>782.61849599999982</v>
      </c>
    </row>
    <row r="9" spans="1:10" ht="21.75" customHeight="1" x14ac:dyDescent="0.25">
      <c r="A9" s="13">
        <v>46024</v>
      </c>
      <c r="B9" t="s">
        <v>16</v>
      </c>
      <c r="C9">
        <v>9.8699999999999992</v>
      </c>
      <c r="D9" s="2">
        <v>4439779</v>
      </c>
      <c r="E9">
        <v>3.03</v>
      </c>
      <c r="F9">
        <v>1</v>
      </c>
      <c r="G9" s="2">
        <v>4439779</v>
      </c>
      <c r="H9" s="2">
        <f>T2_Daily_Feed_Req[[#This Row],[Weekly ABW (g)]]*T2_Daily_Feed_Req[[#This Row],[Latest Pop Count]]/1000</f>
        <v>13452.530369999999</v>
      </c>
      <c r="I9">
        <f>VLOOKUP(T2_Daily_Feed_Req[[#This Row],[Weekly ABW (g)]],MAIN!$A$2:$B$10,2,TRUE)</f>
        <v>7</v>
      </c>
      <c r="J9" s="2">
        <f>T2_Daily_Feed_Req[[#This Row],[Current Biomass (kg)]]*T2_Daily_Feed_Req[[#This Row],[Calc Feed Rate (%)]]/100</f>
        <v>941.67712589999996</v>
      </c>
    </row>
    <row r="10" spans="1:10" ht="21.75" customHeight="1" x14ac:dyDescent="0.25">
      <c r="A10" s="13">
        <v>46024</v>
      </c>
      <c r="B10" t="s">
        <v>17</v>
      </c>
      <c r="C10">
        <v>9.6</v>
      </c>
      <c r="D10" s="2">
        <v>4320502</v>
      </c>
      <c r="E10">
        <v>3.18</v>
      </c>
      <c r="F10">
        <v>1</v>
      </c>
      <c r="G10" s="2">
        <v>4320502</v>
      </c>
      <c r="H10" s="2">
        <f>T2_Daily_Feed_Req[[#This Row],[Weekly ABW (g)]]*T2_Daily_Feed_Req[[#This Row],[Latest Pop Count]]/1000</f>
        <v>13739.196360000002</v>
      </c>
      <c r="I10">
        <f>VLOOKUP(T2_Daily_Feed_Req[[#This Row],[Weekly ABW (g)]],MAIN!$A$2:$B$10,2,TRUE)</f>
        <v>7</v>
      </c>
      <c r="J10" s="2">
        <f>T2_Daily_Feed_Req[[#This Row],[Current Biomass (kg)]]*T2_Daily_Feed_Req[[#This Row],[Calc Feed Rate (%)]]/100</f>
        <v>961.74374520000015</v>
      </c>
    </row>
    <row r="11" spans="1:10" ht="21.75" customHeight="1" x14ac:dyDescent="0.25">
      <c r="A11" s="13">
        <v>46024</v>
      </c>
      <c r="B11" t="s">
        <v>18</v>
      </c>
      <c r="C11">
        <v>9.7100000000000009</v>
      </c>
      <c r="D11" s="2">
        <v>4368633</v>
      </c>
      <c r="E11">
        <v>2.09</v>
      </c>
      <c r="F11">
        <v>1</v>
      </c>
      <c r="G11" s="2">
        <v>4368633</v>
      </c>
      <c r="H11" s="2">
        <f>T2_Daily_Feed_Req[[#This Row],[Weekly ABW (g)]]*T2_Daily_Feed_Req[[#This Row],[Latest Pop Count]]/1000</f>
        <v>9130.4429699999982</v>
      </c>
      <c r="I11">
        <f>VLOOKUP(T2_Daily_Feed_Req[[#This Row],[Weekly ABW (g)]],MAIN!$A$2:$B$10,2,TRUE)</f>
        <v>8</v>
      </c>
      <c r="J11" s="2">
        <f>T2_Daily_Feed_Req[[#This Row],[Current Biomass (kg)]]*T2_Daily_Feed_Req[[#This Row],[Calc Feed Rate (%)]]/100</f>
        <v>730.43543759999989</v>
      </c>
    </row>
    <row r="12" spans="1:10" ht="21.75" customHeight="1" x14ac:dyDescent="0.25">
      <c r="A12" s="13">
        <v>46025</v>
      </c>
      <c r="B12" t="s">
        <v>20</v>
      </c>
      <c r="C12">
        <v>9.02</v>
      </c>
      <c r="D12" s="2">
        <v>4059263</v>
      </c>
      <c r="E12">
        <v>3.22</v>
      </c>
      <c r="F12">
        <v>1</v>
      </c>
      <c r="G12" s="2">
        <v>4059263</v>
      </c>
      <c r="H12" s="2">
        <f>T2_Daily_Feed_Req[[#This Row],[Weekly ABW (g)]]*T2_Daily_Feed_Req[[#This Row],[Latest Pop Count]]/1000</f>
        <v>13070.826860000001</v>
      </c>
      <c r="I12">
        <f>VLOOKUP(T2_Daily_Feed_Req[[#This Row],[Weekly ABW (g)]],MAIN!$A$2:$B$10,2,TRUE)</f>
        <v>7</v>
      </c>
      <c r="J12" s="2">
        <f>T2_Daily_Feed_Req[[#This Row],[Current Biomass (kg)]]*T2_Daily_Feed_Req[[#This Row],[Calc Feed Rate (%)]]/100</f>
        <v>914.95788020000009</v>
      </c>
    </row>
    <row r="13" spans="1:10" ht="21.75" customHeight="1" x14ac:dyDescent="0.25">
      <c r="A13" s="13">
        <v>46025</v>
      </c>
      <c r="B13" t="s">
        <v>21</v>
      </c>
      <c r="C13">
        <v>9.9700000000000006</v>
      </c>
      <c r="D13" s="2">
        <v>4486459</v>
      </c>
      <c r="E13">
        <v>2.34</v>
      </c>
      <c r="F13">
        <v>1</v>
      </c>
      <c r="G13" s="2">
        <v>4486459</v>
      </c>
      <c r="H13" s="2">
        <f>T2_Daily_Feed_Req[[#This Row],[Weekly ABW (g)]]*T2_Daily_Feed_Req[[#This Row],[Latest Pop Count]]/1000</f>
        <v>10498.314059999999</v>
      </c>
      <c r="I13">
        <f>VLOOKUP(T2_Daily_Feed_Req[[#This Row],[Weekly ABW (g)]],MAIN!$A$2:$B$10,2,TRUE)</f>
        <v>8</v>
      </c>
      <c r="J13" s="2">
        <f>T2_Daily_Feed_Req[[#This Row],[Current Biomass (kg)]]*T2_Daily_Feed_Req[[#This Row],[Calc Feed Rate (%)]]/100</f>
        <v>839.86512479999988</v>
      </c>
    </row>
    <row r="14" spans="1:10" ht="21.75" customHeight="1" x14ac:dyDescent="0.25">
      <c r="A14" s="13">
        <v>46025</v>
      </c>
      <c r="B14" t="s">
        <v>22</v>
      </c>
      <c r="C14">
        <v>9.83</v>
      </c>
      <c r="D14" s="2">
        <v>4424599</v>
      </c>
      <c r="E14">
        <v>2.13</v>
      </c>
      <c r="F14">
        <v>1</v>
      </c>
      <c r="G14" s="2">
        <v>4424599</v>
      </c>
      <c r="H14" s="2">
        <f>T2_Daily_Feed_Req[[#This Row],[Weekly ABW (g)]]*T2_Daily_Feed_Req[[#This Row],[Latest Pop Count]]/1000</f>
        <v>9424.3958699999985</v>
      </c>
      <c r="I14">
        <f>VLOOKUP(T2_Daily_Feed_Req[[#This Row],[Weekly ABW (g)]],MAIN!$A$2:$B$10,2,TRUE)</f>
        <v>8</v>
      </c>
      <c r="J14" s="2">
        <f>T2_Daily_Feed_Req[[#This Row],[Current Biomass (kg)]]*T2_Daily_Feed_Req[[#This Row],[Calc Feed Rate (%)]]/100</f>
        <v>753.95166959999983</v>
      </c>
    </row>
    <row r="15" spans="1:10" ht="21.75" customHeight="1" x14ac:dyDescent="0.25">
      <c r="A15" s="13">
        <v>46025</v>
      </c>
      <c r="B15" t="s">
        <v>23</v>
      </c>
      <c r="C15">
        <v>9.2100000000000009</v>
      </c>
      <c r="D15" s="2">
        <v>4145553</v>
      </c>
      <c r="E15">
        <v>3.9</v>
      </c>
      <c r="F15">
        <v>1</v>
      </c>
      <c r="G15" s="2">
        <v>4145553</v>
      </c>
      <c r="H15" s="2">
        <f>T2_Daily_Feed_Req[[#This Row],[Weekly ABW (g)]]*T2_Daily_Feed_Req[[#This Row],[Latest Pop Count]]/1000</f>
        <v>16167.6567</v>
      </c>
      <c r="I15">
        <f>VLOOKUP(T2_Daily_Feed_Req[[#This Row],[Weekly ABW (g)]],MAIN!$A$2:$B$10,2,TRUE)</f>
        <v>7</v>
      </c>
      <c r="J15" s="2">
        <f>T2_Daily_Feed_Req[[#This Row],[Current Biomass (kg)]]*T2_Daily_Feed_Req[[#This Row],[Calc Feed Rate (%)]]/100</f>
        <v>1131.7359690000001</v>
      </c>
    </row>
    <row r="16" spans="1:10" ht="21.75" customHeight="1" x14ac:dyDescent="0.25">
      <c r="A16" s="13">
        <v>46025</v>
      </c>
      <c r="B16" t="s">
        <v>24</v>
      </c>
      <c r="C16">
        <v>9.18</v>
      </c>
      <c r="D16" s="2">
        <v>4131821</v>
      </c>
      <c r="E16">
        <v>3.93</v>
      </c>
      <c r="F16">
        <v>1</v>
      </c>
      <c r="G16" s="2">
        <v>4131821</v>
      </c>
      <c r="H16" s="2">
        <f>T2_Daily_Feed_Req[[#This Row],[Weekly ABW (g)]]*T2_Daily_Feed_Req[[#This Row],[Latest Pop Count]]/1000</f>
        <v>16238.056530000002</v>
      </c>
      <c r="I16">
        <f>VLOOKUP(T2_Daily_Feed_Req[[#This Row],[Weekly ABW (g)]],MAIN!$A$2:$B$10,2,TRUE)</f>
        <v>7</v>
      </c>
      <c r="J16" s="2">
        <f>T2_Daily_Feed_Req[[#This Row],[Current Biomass (kg)]]*T2_Daily_Feed_Req[[#This Row],[Calc Feed Rate (%)]]/100</f>
        <v>1136.6639571000001</v>
      </c>
    </row>
    <row r="17" spans="1:10" ht="21.75" customHeight="1" x14ac:dyDescent="0.25">
      <c r="A17" s="13">
        <v>46026</v>
      </c>
      <c r="B17" t="s">
        <v>26</v>
      </c>
      <c r="C17">
        <v>9.18</v>
      </c>
      <c r="D17" s="2">
        <v>4132532</v>
      </c>
      <c r="E17">
        <v>3.62</v>
      </c>
      <c r="F17">
        <v>1</v>
      </c>
      <c r="G17" s="2">
        <v>4132532</v>
      </c>
      <c r="H17" s="2">
        <f>T2_Daily_Feed_Req[[#This Row],[Weekly ABW (g)]]*T2_Daily_Feed_Req[[#This Row],[Latest Pop Count]]/1000</f>
        <v>14959.76584</v>
      </c>
      <c r="I17">
        <f>VLOOKUP(T2_Daily_Feed_Req[[#This Row],[Weekly ABW (g)]],MAIN!$A$2:$B$10,2,TRUE)</f>
        <v>7</v>
      </c>
      <c r="J17" s="2">
        <f>T2_Daily_Feed_Req[[#This Row],[Current Biomass (kg)]]*T2_Daily_Feed_Req[[#This Row],[Calc Feed Rate (%)]]/100</f>
        <v>1047.1836088</v>
      </c>
    </row>
    <row r="18" spans="1:10" ht="21.75" customHeight="1" x14ac:dyDescent="0.25">
      <c r="A18" s="13">
        <v>46026</v>
      </c>
      <c r="B18" t="s">
        <v>27</v>
      </c>
      <c r="C18">
        <v>9.3000000000000007</v>
      </c>
      <c r="D18" s="2">
        <v>4186909</v>
      </c>
      <c r="E18">
        <v>2.61</v>
      </c>
      <c r="F18">
        <v>1</v>
      </c>
      <c r="G18" s="2">
        <v>4186909</v>
      </c>
      <c r="H18" s="2">
        <f>T2_Daily_Feed_Req[[#This Row],[Weekly ABW (g)]]*T2_Daily_Feed_Req[[#This Row],[Latest Pop Count]]/1000</f>
        <v>10927.832490000001</v>
      </c>
      <c r="I18">
        <f>VLOOKUP(T2_Daily_Feed_Req[[#This Row],[Weekly ABW (g)]],MAIN!$A$2:$B$10,2,TRUE)</f>
        <v>8</v>
      </c>
      <c r="J18" s="2">
        <f>T2_Daily_Feed_Req[[#This Row],[Current Biomass (kg)]]*T2_Daily_Feed_Req[[#This Row],[Calc Feed Rate (%)]]/100</f>
        <v>874.22659920000001</v>
      </c>
    </row>
    <row r="19" spans="1:10" ht="21.75" customHeight="1" x14ac:dyDescent="0.25">
      <c r="A19" s="13">
        <v>46026</v>
      </c>
      <c r="B19" t="s">
        <v>28</v>
      </c>
      <c r="C19">
        <v>9.52</v>
      </c>
      <c r="D19" s="2">
        <v>4286140</v>
      </c>
      <c r="E19">
        <v>2.2000000000000002</v>
      </c>
      <c r="F19">
        <v>1</v>
      </c>
      <c r="G19" s="2">
        <v>4286140</v>
      </c>
      <c r="H19" s="2">
        <f>T2_Daily_Feed_Req[[#This Row],[Weekly ABW (g)]]*T2_Daily_Feed_Req[[#This Row],[Latest Pop Count]]/1000</f>
        <v>9429.5079999999998</v>
      </c>
      <c r="I19">
        <f>VLOOKUP(T2_Daily_Feed_Req[[#This Row],[Weekly ABW (g)]],MAIN!$A$2:$B$10,2,TRUE)</f>
        <v>8</v>
      </c>
      <c r="J19" s="2">
        <f>T2_Daily_Feed_Req[[#This Row],[Current Biomass (kg)]]*T2_Daily_Feed_Req[[#This Row],[Calc Feed Rate (%)]]/100</f>
        <v>754.36063999999999</v>
      </c>
    </row>
    <row r="20" spans="1:10" ht="21.75" customHeight="1" x14ac:dyDescent="0.25">
      <c r="A20" s="13">
        <v>46026</v>
      </c>
      <c r="B20" t="s">
        <v>29</v>
      </c>
      <c r="C20">
        <v>9.43</v>
      </c>
      <c r="D20" s="2">
        <v>4244375</v>
      </c>
      <c r="E20">
        <v>3.37</v>
      </c>
      <c r="F20">
        <v>1</v>
      </c>
      <c r="G20" s="2">
        <v>4244375</v>
      </c>
      <c r="H20" s="2">
        <f>T2_Daily_Feed_Req[[#This Row],[Weekly ABW (g)]]*T2_Daily_Feed_Req[[#This Row],[Latest Pop Count]]/1000</f>
        <v>14303.543750000001</v>
      </c>
      <c r="I20">
        <f>VLOOKUP(T2_Daily_Feed_Req[[#This Row],[Weekly ABW (g)]],MAIN!$A$2:$B$10,2,TRUE)</f>
        <v>7</v>
      </c>
      <c r="J20" s="2">
        <f>T2_Daily_Feed_Req[[#This Row],[Current Biomass (kg)]]*T2_Daily_Feed_Req[[#This Row],[Calc Feed Rate (%)]]/100</f>
        <v>1001.2480625000001</v>
      </c>
    </row>
    <row r="21" spans="1:10" ht="21.75" customHeight="1" x14ac:dyDescent="0.25">
      <c r="A21" s="13">
        <v>46026</v>
      </c>
      <c r="B21" t="s">
        <v>30</v>
      </c>
      <c r="C21">
        <v>9.2899999999999991</v>
      </c>
      <c r="D21" s="2">
        <v>4181053</v>
      </c>
      <c r="E21">
        <v>2.88</v>
      </c>
      <c r="F21">
        <v>1</v>
      </c>
      <c r="G21" s="2">
        <v>4181053</v>
      </c>
      <c r="H21" s="2">
        <f>T2_Daily_Feed_Req[[#This Row],[Weekly ABW (g)]]*T2_Daily_Feed_Req[[#This Row],[Latest Pop Count]]/1000</f>
        <v>12041.432639999999</v>
      </c>
      <c r="I21">
        <f>VLOOKUP(T2_Daily_Feed_Req[[#This Row],[Weekly ABW (g)]],MAIN!$A$2:$B$10,2,TRUE)</f>
        <v>8</v>
      </c>
      <c r="J21" s="2">
        <f>T2_Daily_Feed_Req[[#This Row],[Current Biomass (kg)]]*T2_Daily_Feed_Req[[#This Row],[Calc Feed Rate (%)]]/100</f>
        <v>963.31461119999994</v>
      </c>
    </row>
    <row r="22" spans="1:10" ht="21.75" customHeight="1" x14ac:dyDescent="0.25">
      <c r="A22" s="15">
        <f>A2+6</f>
        <v>46029</v>
      </c>
      <c r="B22" t="s">
        <v>8</v>
      </c>
      <c r="C22">
        <v>9.3699999999999992</v>
      </c>
      <c r="D22" s="2">
        <v>4218543</v>
      </c>
      <c r="E22">
        <v>4.33</v>
      </c>
      <c r="F22">
        <v>7</v>
      </c>
      <c r="G22" s="2">
        <v>3120637</v>
      </c>
      <c r="H22" s="2">
        <f>T2_Daily_Feed_Req[[#This Row],[Weekly ABW (g)]]*T2_Daily_Feed_Req[[#This Row],[Latest Pop Count]]/1000</f>
        <v>13512.35821</v>
      </c>
      <c r="I22">
        <f>VLOOKUP(T2_Daily_Feed_Req[[#This Row],[Weekly ABW (g)]],MAIN!$A$2:$B$10,2,TRUE)</f>
        <v>7</v>
      </c>
      <c r="J22" s="2">
        <f>T2_Daily_Feed_Req[[#This Row],[Current Biomass (kg)]]*T2_Daily_Feed_Req[[#This Row],[Calc Feed Rate (%)]]/100</f>
        <v>945.86507469999992</v>
      </c>
    </row>
    <row r="23" spans="1:10" ht="21.75" customHeight="1" x14ac:dyDescent="0.25">
      <c r="A23" s="15">
        <f t="shared" ref="A23:A41" si="0">A3+6</f>
        <v>46029</v>
      </c>
      <c r="B23" t="s">
        <v>9</v>
      </c>
      <c r="C23">
        <v>9.9499999999999993</v>
      </c>
      <c r="D23" s="2">
        <v>4477821</v>
      </c>
      <c r="E23">
        <v>3.72</v>
      </c>
      <c r="F23">
        <v>7</v>
      </c>
      <c r="G23" s="2">
        <v>3334632</v>
      </c>
      <c r="H23" s="2">
        <f>T2_Daily_Feed_Req[[#This Row],[Weekly ABW (g)]]*T2_Daily_Feed_Req[[#This Row],[Latest Pop Count]]/1000</f>
        <v>12404.831040000001</v>
      </c>
      <c r="I23">
        <f>VLOOKUP(T2_Daily_Feed_Req[[#This Row],[Weekly ABW (g)]],MAIN!$A$2:$B$10,2,TRUE)</f>
        <v>7</v>
      </c>
      <c r="J23" s="2">
        <f>T2_Daily_Feed_Req[[#This Row],[Current Biomass (kg)]]*T2_Daily_Feed_Req[[#This Row],[Calc Feed Rate (%)]]/100</f>
        <v>868.33817280000005</v>
      </c>
    </row>
    <row r="24" spans="1:10" ht="21.75" customHeight="1" x14ac:dyDescent="0.25">
      <c r="A24" s="15">
        <f t="shared" si="0"/>
        <v>46029</v>
      </c>
      <c r="B24" t="s">
        <v>10</v>
      </c>
      <c r="C24">
        <v>9.73</v>
      </c>
      <c r="D24" s="2">
        <v>4379397</v>
      </c>
      <c r="E24">
        <v>3.62</v>
      </c>
      <c r="F24">
        <v>7</v>
      </c>
      <c r="G24" s="2">
        <v>3244520</v>
      </c>
      <c r="H24" s="2">
        <f>T2_Daily_Feed_Req[[#This Row],[Weekly ABW (g)]]*T2_Daily_Feed_Req[[#This Row],[Latest Pop Count]]/1000</f>
        <v>11745.162400000001</v>
      </c>
      <c r="I24">
        <f>VLOOKUP(T2_Daily_Feed_Req[[#This Row],[Weekly ABW (g)]],MAIN!$A$2:$B$10,2,TRUE)</f>
        <v>7</v>
      </c>
      <c r="J24" s="2">
        <f>T2_Daily_Feed_Req[[#This Row],[Current Biomass (kg)]]*T2_Daily_Feed_Req[[#This Row],[Calc Feed Rate (%)]]/100</f>
        <v>822.16136800000004</v>
      </c>
    </row>
    <row r="25" spans="1:10" ht="21.75" customHeight="1" x14ac:dyDescent="0.25">
      <c r="A25" s="15">
        <f t="shared" si="0"/>
        <v>46029</v>
      </c>
      <c r="B25" t="s">
        <v>11</v>
      </c>
      <c r="C25">
        <v>9.6</v>
      </c>
      <c r="D25" s="2">
        <v>4319396</v>
      </c>
      <c r="E25">
        <v>4.55</v>
      </c>
      <c r="F25">
        <v>7</v>
      </c>
      <c r="G25" s="2">
        <v>2352841</v>
      </c>
      <c r="H25" s="2">
        <f>T2_Daily_Feed_Req[[#This Row],[Weekly ABW (g)]]*T2_Daily_Feed_Req[[#This Row],[Latest Pop Count]]/1000</f>
        <v>10705.426549999998</v>
      </c>
      <c r="I25">
        <f>VLOOKUP(T2_Daily_Feed_Req[[#This Row],[Weekly ABW (g)]],MAIN!$A$2:$B$10,2,TRUE)</f>
        <v>7</v>
      </c>
      <c r="J25" s="2">
        <f>T2_Daily_Feed_Req[[#This Row],[Current Biomass (kg)]]*T2_Daily_Feed_Req[[#This Row],[Calc Feed Rate (%)]]/100</f>
        <v>749.37985849999984</v>
      </c>
    </row>
    <row r="26" spans="1:10" ht="21.75" customHeight="1" x14ac:dyDescent="0.25">
      <c r="A26" s="15">
        <f t="shared" si="0"/>
        <v>46029</v>
      </c>
      <c r="B26" t="s">
        <v>12</v>
      </c>
      <c r="C26">
        <v>9.16</v>
      </c>
      <c r="D26" s="2">
        <v>4120208</v>
      </c>
      <c r="E26">
        <v>4.1500000000000004</v>
      </c>
      <c r="F26">
        <v>7</v>
      </c>
      <c r="G26" s="2">
        <v>3072116</v>
      </c>
      <c r="H26" s="2">
        <f>T2_Daily_Feed_Req[[#This Row],[Weekly ABW (g)]]*T2_Daily_Feed_Req[[#This Row],[Latest Pop Count]]/1000</f>
        <v>12749.2814</v>
      </c>
      <c r="I26">
        <f>VLOOKUP(T2_Daily_Feed_Req[[#This Row],[Weekly ABW (g)]],MAIN!$A$2:$B$10,2,TRUE)</f>
        <v>7</v>
      </c>
      <c r="J26" s="2">
        <f>T2_Daily_Feed_Req[[#This Row],[Current Biomass (kg)]]*T2_Daily_Feed_Req[[#This Row],[Calc Feed Rate (%)]]/100</f>
        <v>892.4496979999999</v>
      </c>
    </row>
    <row r="27" spans="1:10" ht="21.75" customHeight="1" x14ac:dyDescent="0.25">
      <c r="A27" s="15">
        <f t="shared" si="0"/>
        <v>46030</v>
      </c>
      <c r="B27" t="s">
        <v>14</v>
      </c>
      <c r="C27">
        <v>9.16</v>
      </c>
      <c r="D27" s="2">
        <v>4120198</v>
      </c>
      <c r="E27">
        <v>5.17</v>
      </c>
      <c r="F27">
        <v>7</v>
      </c>
      <c r="G27" s="2">
        <v>2064710</v>
      </c>
      <c r="H27" s="2">
        <f>T2_Daily_Feed_Req[[#This Row],[Weekly ABW (g)]]*T2_Daily_Feed_Req[[#This Row],[Latest Pop Count]]/1000</f>
        <v>10674.5507</v>
      </c>
      <c r="I27">
        <f>VLOOKUP(T2_Daily_Feed_Req[[#This Row],[Weekly ABW (g)]],MAIN!$A$2:$B$10,2,TRUE)</f>
        <v>5.5</v>
      </c>
      <c r="J27" s="2">
        <f>T2_Daily_Feed_Req[[#This Row],[Current Biomass (kg)]]*T2_Daily_Feed_Req[[#This Row],[Calc Feed Rate (%)]]/100</f>
        <v>587.10028850000003</v>
      </c>
    </row>
    <row r="28" spans="1:10" ht="21.75" customHeight="1" x14ac:dyDescent="0.25">
      <c r="A28" s="15">
        <f t="shared" si="0"/>
        <v>46030</v>
      </c>
      <c r="B28" t="s">
        <v>15</v>
      </c>
      <c r="C28">
        <v>9.06</v>
      </c>
      <c r="D28" s="2">
        <v>4076138</v>
      </c>
      <c r="E28">
        <v>3.68</v>
      </c>
      <c r="F28">
        <v>7</v>
      </c>
      <c r="G28" s="2">
        <v>1951969</v>
      </c>
      <c r="H28" s="2">
        <f>T2_Daily_Feed_Req[[#This Row],[Weekly ABW (g)]]*T2_Daily_Feed_Req[[#This Row],[Latest Pop Count]]/1000</f>
        <v>7183.2459200000003</v>
      </c>
      <c r="I28">
        <f>VLOOKUP(T2_Daily_Feed_Req[[#This Row],[Weekly ABW (g)]],MAIN!$A$2:$B$10,2,TRUE)</f>
        <v>7</v>
      </c>
      <c r="J28" s="2">
        <f>T2_Daily_Feed_Req[[#This Row],[Current Biomass (kg)]]*T2_Daily_Feed_Req[[#This Row],[Calc Feed Rate (%)]]/100</f>
        <v>502.8272144</v>
      </c>
    </row>
    <row r="29" spans="1:10" ht="21.75" customHeight="1" x14ac:dyDescent="0.25">
      <c r="A29" s="15">
        <f t="shared" si="0"/>
        <v>46030</v>
      </c>
      <c r="B29" t="s">
        <v>16</v>
      </c>
      <c r="C29">
        <v>9.8699999999999992</v>
      </c>
      <c r="D29" s="2">
        <v>4439779</v>
      </c>
      <c r="E29">
        <v>4.5</v>
      </c>
      <c r="F29">
        <v>7</v>
      </c>
      <c r="G29" s="2">
        <v>2351740</v>
      </c>
      <c r="H29" s="2">
        <f>T2_Daily_Feed_Req[[#This Row],[Weekly ABW (g)]]*T2_Daily_Feed_Req[[#This Row],[Latest Pop Count]]/1000</f>
        <v>10582.83</v>
      </c>
      <c r="I29">
        <f>VLOOKUP(T2_Daily_Feed_Req[[#This Row],[Weekly ABW (g)]],MAIN!$A$2:$B$10,2,TRUE)</f>
        <v>7</v>
      </c>
      <c r="J29" s="2">
        <f>T2_Daily_Feed_Req[[#This Row],[Current Biomass (kg)]]*T2_Daily_Feed_Req[[#This Row],[Calc Feed Rate (%)]]/100</f>
        <v>740.79809999999998</v>
      </c>
    </row>
    <row r="30" spans="1:10" ht="21.75" customHeight="1" x14ac:dyDescent="0.25">
      <c r="A30" s="15">
        <f t="shared" si="0"/>
        <v>46030</v>
      </c>
      <c r="B30" t="s">
        <v>17</v>
      </c>
      <c r="C30">
        <v>9.6</v>
      </c>
      <c r="D30" s="2">
        <v>4320502</v>
      </c>
      <c r="E30">
        <v>4.68</v>
      </c>
      <c r="F30">
        <v>7</v>
      </c>
      <c r="G30" s="2">
        <v>3198674</v>
      </c>
      <c r="H30" s="2">
        <f>T2_Daily_Feed_Req[[#This Row],[Weekly ABW (g)]]*T2_Daily_Feed_Req[[#This Row],[Latest Pop Count]]/1000</f>
        <v>14969.794319999999</v>
      </c>
      <c r="I30">
        <f>VLOOKUP(T2_Daily_Feed_Req[[#This Row],[Weekly ABW (g)]],MAIN!$A$2:$B$10,2,TRUE)</f>
        <v>7</v>
      </c>
      <c r="J30" s="2">
        <f>T2_Daily_Feed_Req[[#This Row],[Current Biomass (kg)]]*T2_Daily_Feed_Req[[#This Row],[Calc Feed Rate (%)]]/100</f>
        <v>1047.8856023999999</v>
      </c>
    </row>
    <row r="31" spans="1:10" ht="21.75" customHeight="1" x14ac:dyDescent="0.25">
      <c r="A31" s="15">
        <f t="shared" si="0"/>
        <v>46030</v>
      </c>
      <c r="B31" t="s">
        <v>18</v>
      </c>
      <c r="C31">
        <v>9.7100000000000009</v>
      </c>
      <c r="D31" s="2">
        <v>4368633</v>
      </c>
      <c r="E31">
        <v>3.26</v>
      </c>
      <c r="F31">
        <v>7</v>
      </c>
      <c r="G31" s="2">
        <v>3236070</v>
      </c>
      <c r="H31" s="2">
        <f>T2_Daily_Feed_Req[[#This Row],[Weekly ABW (g)]]*T2_Daily_Feed_Req[[#This Row],[Latest Pop Count]]/1000</f>
        <v>10549.5882</v>
      </c>
      <c r="I31">
        <f>VLOOKUP(T2_Daily_Feed_Req[[#This Row],[Weekly ABW (g)]],MAIN!$A$2:$B$10,2,TRUE)</f>
        <v>7</v>
      </c>
      <c r="J31" s="2">
        <f>T2_Daily_Feed_Req[[#This Row],[Current Biomass (kg)]]*T2_Daily_Feed_Req[[#This Row],[Calc Feed Rate (%)]]/100</f>
        <v>738.47117400000002</v>
      </c>
    </row>
    <row r="32" spans="1:10" ht="21.75" customHeight="1" x14ac:dyDescent="0.25">
      <c r="A32" s="15">
        <f t="shared" si="0"/>
        <v>46031</v>
      </c>
      <c r="B32" t="s">
        <v>20</v>
      </c>
      <c r="C32">
        <v>9.02</v>
      </c>
      <c r="D32" s="2">
        <v>4059263</v>
      </c>
      <c r="E32">
        <v>5.09</v>
      </c>
      <c r="F32">
        <v>7</v>
      </c>
      <c r="G32" s="2">
        <v>2148969</v>
      </c>
      <c r="H32" s="2">
        <f>T2_Daily_Feed_Req[[#This Row],[Weekly ABW (g)]]*T2_Daily_Feed_Req[[#This Row],[Latest Pop Count]]/1000</f>
        <v>10938.252209999999</v>
      </c>
      <c r="I32">
        <f>VLOOKUP(T2_Daily_Feed_Req[[#This Row],[Weekly ABW (g)]],MAIN!$A$2:$B$10,2,TRUE)</f>
        <v>5.5</v>
      </c>
      <c r="J32" s="2">
        <f>T2_Daily_Feed_Req[[#This Row],[Current Biomass (kg)]]*T2_Daily_Feed_Req[[#This Row],[Calc Feed Rate (%)]]/100</f>
        <v>601.60387154999989</v>
      </c>
    </row>
    <row r="33" spans="1:10" ht="21.75" customHeight="1" x14ac:dyDescent="0.25">
      <c r="A33" s="15">
        <f t="shared" si="0"/>
        <v>46031</v>
      </c>
      <c r="B33" t="s">
        <v>21</v>
      </c>
      <c r="C33">
        <v>9.9700000000000006</v>
      </c>
      <c r="D33" s="2">
        <v>4486459</v>
      </c>
      <c r="E33">
        <v>4.04</v>
      </c>
      <c r="F33">
        <v>7</v>
      </c>
      <c r="G33" s="2">
        <v>3358270</v>
      </c>
      <c r="H33" s="2">
        <f>T2_Daily_Feed_Req[[#This Row],[Weekly ABW (g)]]*T2_Daily_Feed_Req[[#This Row],[Latest Pop Count]]/1000</f>
        <v>13567.410800000001</v>
      </c>
      <c r="I33">
        <f>VLOOKUP(T2_Daily_Feed_Req[[#This Row],[Weekly ABW (g)]],MAIN!$A$2:$B$10,2,TRUE)</f>
        <v>7</v>
      </c>
      <c r="J33" s="2">
        <f>T2_Daily_Feed_Req[[#This Row],[Current Biomass (kg)]]*T2_Daily_Feed_Req[[#This Row],[Calc Feed Rate (%)]]/100</f>
        <v>949.7187560000001</v>
      </c>
    </row>
    <row r="34" spans="1:10" ht="21.75" customHeight="1" x14ac:dyDescent="0.25">
      <c r="A34" s="15">
        <f t="shared" si="0"/>
        <v>46031</v>
      </c>
      <c r="B34" t="s">
        <v>22</v>
      </c>
      <c r="C34">
        <v>9.83</v>
      </c>
      <c r="D34" s="2">
        <v>4424599</v>
      </c>
      <c r="E34">
        <v>3.98</v>
      </c>
      <c r="F34">
        <v>7</v>
      </c>
      <c r="G34" s="2">
        <v>3301985</v>
      </c>
      <c r="H34" s="2">
        <f>T2_Daily_Feed_Req[[#This Row],[Weekly ABW (g)]]*T2_Daily_Feed_Req[[#This Row],[Latest Pop Count]]/1000</f>
        <v>13141.900300000001</v>
      </c>
      <c r="I34">
        <f>VLOOKUP(T2_Daily_Feed_Req[[#This Row],[Weekly ABW (g)]],MAIN!$A$2:$B$10,2,TRUE)</f>
        <v>7</v>
      </c>
      <c r="J34" s="2">
        <f>T2_Daily_Feed_Req[[#This Row],[Current Biomass (kg)]]*T2_Daily_Feed_Req[[#This Row],[Calc Feed Rate (%)]]/100</f>
        <v>919.93302100000005</v>
      </c>
    </row>
    <row r="35" spans="1:10" ht="21.75" customHeight="1" x14ac:dyDescent="0.25">
      <c r="A35" s="15">
        <f t="shared" si="0"/>
        <v>46031</v>
      </c>
      <c r="B35" t="s">
        <v>23</v>
      </c>
      <c r="C35">
        <v>9.2100000000000009</v>
      </c>
      <c r="D35" s="2">
        <v>4145553</v>
      </c>
      <c r="E35">
        <v>5.7</v>
      </c>
      <c r="F35">
        <v>7</v>
      </c>
      <c r="G35" s="2">
        <v>1835964</v>
      </c>
      <c r="H35" s="2">
        <f>T2_Daily_Feed_Req[[#This Row],[Weekly ABW (g)]]*T2_Daily_Feed_Req[[#This Row],[Latest Pop Count]]/1000</f>
        <v>10464.9948</v>
      </c>
      <c r="I35">
        <f>VLOOKUP(T2_Daily_Feed_Req[[#This Row],[Weekly ABW (g)]],MAIN!$A$2:$B$10,2,TRUE)</f>
        <v>5.5</v>
      </c>
      <c r="J35" s="2">
        <f>T2_Daily_Feed_Req[[#This Row],[Current Biomass (kg)]]*T2_Daily_Feed_Req[[#This Row],[Calc Feed Rate (%)]]/100</f>
        <v>575.57471399999997</v>
      </c>
    </row>
    <row r="36" spans="1:10" ht="21.75" customHeight="1" x14ac:dyDescent="0.25">
      <c r="A36" s="15">
        <f t="shared" si="0"/>
        <v>46031</v>
      </c>
      <c r="B36" t="s">
        <v>24</v>
      </c>
      <c r="C36">
        <v>9.18</v>
      </c>
      <c r="D36" s="2">
        <v>4131821</v>
      </c>
      <c r="E36">
        <v>5.47</v>
      </c>
      <c r="F36">
        <v>7</v>
      </c>
      <c r="G36" s="2">
        <v>3074991</v>
      </c>
      <c r="H36" s="2">
        <f>T2_Daily_Feed_Req[[#This Row],[Weekly ABW (g)]]*T2_Daily_Feed_Req[[#This Row],[Latest Pop Count]]/1000</f>
        <v>16820.200769999999</v>
      </c>
      <c r="I36">
        <f>VLOOKUP(T2_Daily_Feed_Req[[#This Row],[Weekly ABW (g)]],MAIN!$A$2:$B$10,2,TRUE)</f>
        <v>5.5</v>
      </c>
      <c r="J36" s="2">
        <f>T2_Daily_Feed_Req[[#This Row],[Current Biomass (kg)]]*T2_Daily_Feed_Req[[#This Row],[Calc Feed Rate (%)]]/100</f>
        <v>925.11104234999993</v>
      </c>
    </row>
    <row r="37" spans="1:10" ht="21.75" customHeight="1" x14ac:dyDescent="0.25">
      <c r="A37" s="15">
        <f t="shared" si="0"/>
        <v>46032</v>
      </c>
      <c r="B37" t="s">
        <v>26</v>
      </c>
      <c r="C37">
        <v>9.18</v>
      </c>
      <c r="D37" s="2">
        <v>4132532</v>
      </c>
      <c r="E37">
        <v>5.45</v>
      </c>
      <c r="F37">
        <v>7</v>
      </c>
      <c r="G37" s="2">
        <v>3069378</v>
      </c>
      <c r="H37" s="2">
        <f>T2_Daily_Feed_Req[[#This Row],[Weekly ABW (g)]]*T2_Daily_Feed_Req[[#This Row],[Latest Pop Count]]/1000</f>
        <v>16728.110099999998</v>
      </c>
      <c r="I37">
        <f>VLOOKUP(T2_Daily_Feed_Req[[#This Row],[Weekly ABW (g)]],MAIN!$A$2:$B$10,2,TRUE)</f>
        <v>5.5</v>
      </c>
      <c r="J37" s="2">
        <f>T2_Daily_Feed_Req[[#This Row],[Current Biomass (kg)]]*T2_Daily_Feed_Req[[#This Row],[Calc Feed Rate (%)]]/100</f>
        <v>920.04605549999997</v>
      </c>
    </row>
    <row r="38" spans="1:10" ht="21.75" customHeight="1" x14ac:dyDescent="0.25">
      <c r="A38" s="15">
        <f t="shared" si="0"/>
        <v>46032</v>
      </c>
      <c r="B38" t="s">
        <v>27</v>
      </c>
      <c r="C38">
        <v>9.3000000000000007</v>
      </c>
      <c r="D38" s="2">
        <v>4186909</v>
      </c>
      <c r="E38">
        <v>3.69</v>
      </c>
      <c r="F38">
        <v>7</v>
      </c>
      <c r="G38" s="2">
        <v>3098936</v>
      </c>
      <c r="H38" s="2">
        <f>T2_Daily_Feed_Req[[#This Row],[Weekly ABW (g)]]*T2_Daily_Feed_Req[[#This Row],[Latest Pop Count]]/1000</f>
        <v>11435.073839999999</v>
      </c>
      <c r="I38">
        <f>VLOOKUP(T2_Daily_Feed_Req[[#This Row],[Weekly ABW (g)]],MAIN!$A$2:$B$10,2,TRUE)</f>
        <v>7</v>
      </c>
      <c r="J38" s="2">
        <f>T2_Daily_Feed_Req[[#This Row],[Current Biomass (kg)]]*T2_Daily_Feed_Req[[#This Row],[Calc Feed Rate (%)]]/100</f>
        <v>800.45516879999991</v>
      </c>
    </row>
    <row r="39" spans="1:10" ht="21.75" customHeight="1" x14ac:dyDescent="0.25">
      <c r="A39" s="15">
        <f t="shared" si="0"/>
        <v>46032</v>
      </c>
      <c r="B39" t="s">
        <v>28</v>
      </c>
      <c r="C39">
        <v>9.52</v>
      </c>
      <c r="D39" s="2">
        <v>4286140</v>
      </c>
      <c r="E39">
        <v>3.37</v>
      </c>
      <c r="F39">
        <v>7</v>
      </c>
      <c r="G39" s="2">
        <v>3192994</v>
      </c>
      <c r="H39" s="2">
        <f>T2_Daily_Feed_Req[[#This Row],[Weekly ABW (g)]]*T2_Daily_Feed_Req[[#This Row],[Latest Pop Count]]/1000</f>
        <v>10760.389780000001</v>
      </c>
      <c r="I39">
        <f>VLOOKUP(T2_Daily_Feed_Req[[#This Row],[Weekly ABW (g)]],MAIN!$A$2:$B$10,2,TRUE)</f>
        <v>7</v>
      </c>
      <c r="J39" s="2">
        <f>T2_Daily_Feed_Req[[#This Row],[Current Biomass (kg)]]*T2_Daily_Feed_Req[[#This Row],[Calc Feed Rate (%)]]/100</f>
        <v>753.22728460000008</v>
      </c>
    </row>
    <row r="40" spans="1:10" ht="21.75" customHeight="1" x14ac:dyDescent="0.25">
      <c r="A40" s="15">
        <f t="shared" si="0"/>
        <v>46032</v>
      </c>
      <c r="B40" t="s">
        <v>29</v>
      </c>
      <c r="C40">
        <v>9.43</v>
      </c>
      <c r="D40" s="2">
        <v>4244375</v>
      </c>
      <c r="E40">
        <v>4.41</v>
      </c>
      <c r="F40">
        <v>7</v>
      </c>
      <c r="G40" s="2">
        <v>2361338</v>
      </c>
      <c r="H40" s="2">
        <f>T2_Daily_Feed_Req[[#This Row],[Weekly ABW (g)]]*T2_Daily_Feed_Req[[#This Row],[Latest Pop Count]]/1000</f>
        <v>10413.50058</v>
      </c>
      <c r="I40">
        <f>VLOOKUP(T2_Daily_Feed_Req[[#This Row],[Weekly ABW (g)]],MAIN!$A$2:$B$10,2,TRUE)</f>
        <v>7</v>
      </c>
      <c r="J40" s="2">
        <f>T2_Daily_Feed_Req[[#This Row],[Current Biomass (kg)]]*T2_Daily_Feed_Req[[#This Row],[Calc Feed Rate (%)]]/100</f>
        <v>728.94504060000008</v>
      </c>
    </row>
    <row r="41" spans="1:10" ht="21.75" customHeight="1" x14ac:dyDescent="0.25">
      <c r="A41" s="15">
        <f t="shared" si="0"/>
        <v>46032</v>
      </c>
      <c r="B41" t="s">
        <v>30</v>
      </c>
      <c r="C41">
        <v>9.2899999999999991</v>
      </c>
      <c r="D41" s="2">
        <v>4181053</v>
      </c>
      <c r="E41">
        <v>4.17</v>
      </c>
      <c r="F41">
        <v>7</v>
      </c>
      <c r="G41" s="2">
        <v>3105252</v>
      </c>
      <c r="H41" s="2">
        <f>T2_Daily_Feed_Req[[#This Row],[Weekly ABW (g)]]*T2_Daily_Feed_Req[[#This Row],[Latest Pop Count]]/1000</f>
        <v>12948.90084</v>
      </c>
      <c r="I41">
        <f>VLOOKUP(T2_Daily_Feed_Req[[#This Row],[Weekly ABW (g)]],MAIN!$A$2:$B$10,2,TRUE)</f>
        <v>7</v>
      </c>
      <c r="J41" s="2">
        <f>T2_Daily_Feed_Req[[#This Row],[Current Biomass (kg)]]*T2_Daily_Feed_Req[[#This Row],[Calc Feed Rate (%)]]/100</f>
        <v>906.42305880000004</v>
      </c>
    </row>
    <row r="42" spans="1:10" ht="21.75" customHeight="1" x14ac:dyDescent="0.25">
      <c r="A42" s="15">
        <f>A22+7</f>
        <v>46036</v>
      </c>
      <c r="B42" t="s">
        <v>8</v>
      </c>
      <c r="C42">
        <v>9.3699999999999992</v>
      </c>
      <c r="D42" s="2">
        <v>4218543</v>
      </c>
      <c r="E42">
        <v>5.36</v>
      </c>
      <c r="F42">
        <v>14</v>
      </c>
      <c r="G42" s="2">
        <v>3115603</v>
      </c>
      <c r="H42" s="2">
        <f>T2_Daily_Feed_Req[[#This Row],[Weekly ABW (g)]]*T2_Daily_Feed_Req[[#This Row],[Latest Pop Count]]/1000</f>
        <v>16699.632079999999</v>
      </c>
      <c r="I42">
        <f>VLOOKUP(T2_Daily_Feed_Req[[#This Row],[Weekly ABW (g)]],MAIN!$A$2:$B$10,2,TRUE)</f>
        <v>5.5</v>
      </c>
      <c r="J42" s="2">
        <f>T2_Daily_Feed_Req[[#This Row],[Current Biomass (kg)]]*T2_Daily_Feed_Req[[#This Row],[Calc Feed Rate (%)]]/100</f>
        <v>918.47976440000002</v>
      </c>
    </row>
    <row r="43" spans="1:10" ht="21.75" customHeight="1" x14ac:dyDescent="0.25">
      <c r="A43" s="15">
        <f t="shared" ref="A43:A61" si="1">A23+7</f>
        <v>46036</v>
      </c>
      <c r="B43" t="s">
        <v>9</v>
      </c>
      <c r="C43">
        <v>9.9499999999999993</v>
      </c>
      <c r="D43" s="2">
        <v>4477821</v>
      </c>
      <c r="E43">
        <v>5.3</v>
      </c>
      <c r="F43">
        <v>14</v>
      </c>
      <c r="G43" s="2">
        <v>3319447</v>
      </c>
      <c r="H43" s="2">
        <f>T2_Daily_Feed_Req[[#This Row],[Weekly ABW (g)]]*T2_Daily_Feed_Req[[#This Row],[Latest Pop Count]]/1000</f>
        <v>17593.069099999997</v>
      </c>
      <c r="I43">
        <f>VLOOKUP(T2_Daily_Feed_Req[[#This Row],[Weekly ABW (g)]],MAIN!$A$2:$B$10,2,TRUE)</f>
        <v>5.5</v>
      </c>
      <c r="J43" s="2">
        <f>T2_Daily_Feed_Req[[#This Row],[Current Biomass (kg)]]*T2_Daily_Feed_Req[[#This Row],[Calc Feed Rate (%)]]/100</f>
        <v>967.61880049999979</v>
      </c>
    </row>
    <row r="44" spans="1:10" ht="21.75" customHeight="1" x14ac:dyDescent="0.25">
      <c r="A44" s="15">
        <f t="shared" si="1"/>
        <v>46036</v>
      </c>
      <c r="B44" t="s">
        <v>10</v>
      </c>
      <c r="C44">
        <v>9.73</v>
      </c>
      <c r="D44" s="2">
        <v>4379397</v>
      </c>
      <c r="E44">
        <v>4.9000000000000004</v>
      </c>
      <c r="F44">
        <v>14</v>
      </c>
      <c r="G44" s="2">
        <v>3237188</v>
      </c>
      <c r="H44" s="2">
        <f>T2_Daily_Feed_Req[[#This Row],[Weekly ABW (g)]]*T2_Daily_Feed_Req[[#This Row],[Latest Pop Count]]/1000</f>
        <v>15862.221200000002</v>
      </c>
      <c r="I44">
        <f>VLOOKUP(T2_Daily_Feed_Req[[#This Row],[Weekly ABW (g)]],MAIN!$A$2:$B$10,2,TRUE)</f>
        <v>7</v>
      </c>
      <c r="J44" s="2">
        <f>T2_Daily_Feed_Req[[#This Row],[Current Biomass (kg)]]*T2_Daily_Feed_Req[[#This Row],[Calc Feed Rate (%)]]/100</f>
        <v>1110.3554840000002</v>
      </c>
    </row>
    <row r="45" spans="1:10" ht="21.75" customHeight="1" x14ac:dyDescent="0.25">
      <c r="A45" s="15">
        <f t="shared" si="1"/>
        <v>46036</v>
      </c>
      <c r="B45" t="s">
        <v>11</v>
      </c>
      <c r="C45">
        <v>9.6</v>
      </c>
      <c r="D45" s="2">
        <v>4319396</v>
      </c>
      <c r="E45">
        <v>6.01</v>
      </c>
      <c r="F45">
        <v>14</v>
      </c>
      <c r="G45" s="2">
        <v>2329789</v>
      </c>
      <c r="H45" s="2">
        <f>T2_Daily_Feed_Req[[#This Row],[Weekly ABW (g)]]*T2_Daily_Feed_Req[[#This Row],[Latest Pop Count]]/1000</f>
        <v>14002.031889999998</v>
      </c>
      <c r="I45">
        <f>VLOOKUP(T2_Daily_Feed_Req[[#This Row],[Weekly ABW (g)]],MAIN!$A$2:$B$10,2,TRUE)</f>
        <v>5.5</v>
      </c>
      <c r="J45" s="2">
        <f>T2_Daily_Feed_Req[[#This Row],[Current Biomass (kg)]]*T2_Daily_Feed_Req[[#This Row],[Calc Feed Rate (%)]]/100</f>
        <v>770.11175394999998</v>
      </c>
    </row>
    <row r="46" spans="1:10" ht="21.75" customHeight="1" x14ac:dyDescent="0.25">
      <c r="A46" s="15">
        <f t="shared" si="1"/>
        <v>46036</v>
      </c>
      <c r="B46" t="s">
        <v>12</v>
      </c>
      <c r="C46">
        <v>9.16</v>
      </c>
      <c r="D46" s="2">
        <v>4120208</v>
      </c>
      <c r="E46">
        <v>5.96</v>
      </c>
      <c r="F46">
        <v>14</v>
      </c>
      <c r="G46" s="2">
        <v>3061469</v>
      </c>
      <c r="H46" s="2">
        <f>T2_Daily_Feed_Req[[#This Row],[Weekly ABW (g)]]*T2_Daily_Feed_Req[[#This Row],[Latest Pop Count]]/1000</f>
        <v>18246.355239999997</v>
      </c>
      <c r="I46">
        <f>VLOOKUP(T2_Daily_Feed_Req[[#This Row],[Weekly ABW (g)]],MAIN!$A$2:$B$10,2,TRUE)</f>
        <v>5.5</v>
      </c>
      <c r="J46" s="2">
        <f>T2_Daily_Feed_Req[[#This Row],[Current Biomass (kg)]]*T2_Daily_Feed_Req[[#This Row],[Calc Feed Rate (%)]]/100</f>
        <v>1003.5495381999998</v>
      </c>
    </row>
    <row r="47" spans="1:10" ht="21.75" customHeight="1" x14ac:dyDescent="0.25">
      <c r="A47" s="15">
        <f t="shared" si="1"/>
        <v>46037</v>
      </c>
      <c r="B47" t="s">
        <v>14</v>
      </c>
      <c r="C47">
        <v>9.16</v>
      </c>
      <c r="D47" s="2">
        <v>4120198</v>
      </c>
      <c r="E47">
        <v>6.39</v>
      </c>
      <c r="F47">
        <v>14</v>
      </c>
      <c r="G47" s="2">
        <v>2028932</v>
      </c>
      <c r="H47" s="2">
        <f>T2_Daily_Feed_Req[[#This Row],[Weekly ABW (g)]]*T2_Daily_Feed_Req[[#This Row],[Latest Pop Count]]/1000</f>
        <v>12964.875479999999</v>
      </c>
      <c r="I47">
        <f>VLOOKUP(T2_Daily_Feed_Req[[#This Row],[Weekly ABW (g)]],MAIN!$A$2:$B$10,2,TRUE)</f>
        <v>5.5</v>
      </c>
      <c r="J47" s="2">
        <f>T2_Daily_Feed_Req[[#This Row],[Current Biomass (kg)]]*T2_Daily_Feed_Req[[#This Row],[Calc Feed Rate (%)]]/100</f>
        <v>713.06815139999992</v>
      </c>
    </row>
    <row r="48" spans="1:10" ht="21.75" customHeight="1" x14ac:dyDescent="0.25">
      <c r="A48" s="15">
        <f t="shared" si="1"/>
        <v>46037</v>
      </c>
      <c r="B48" t="s">
        <v>15</v>
      </c>
      <c r="C48">
        <v>9.06</v>
      </c>
      <c r="D48" s="2">
        <v>4076138</v>
      </c>
      <c r="E48">
        <v>5.05</v>
      </c>
      <c r="F48">
        <v>14</v>
      </c>
      <c r="G48" s="2">
        <v>1914623</v>
      </c>
      <c r="H48" s="2">
        <f>T2_Daily_Feed_Req[[#This Row],[Weekly ABW (g)]]*T2_Daily_Feed_Req[[#This Row],[Latest Pop Count]]/1000</f>
        <v>9668.8461500000012</v>
      </c>
      <c r="I48">
        <f>VLOOKUP(T2_Daily_Feed_Req[[#This Row],[Weekly ABW (g)]],MAIN!$A$2:$B$10,2,TRUE)</f>
        <v>5.5</v>
      </c>
      <c r="J48" s="2">
        <f>T2_Daily_Feed_Req[[#This Row],[Current Biomass (kg)]]*T2_Daily_Feed_Req[[#This Row],[Calc Feed Rate (%)]]/100</f>
        <v>531.78653825000004</v>
      </c>
    </row>
    <row r="49" spans="1:10" ht="21.75" customHeight="1" x14ac:dyDescent="0.25">
      <c r="A49" s="15">
        <f t="shared" si="1"/>
        <v>46037</v>
      </c>
      <c r="B49" t="s">
        <v>16</v>
      </c>
      <c r="C49">
        <v>9.8699999999999992</v>
      </c>
      <c r="D49" s="2">
        <v>4439779</v>
      </c>
      <c r="E49">
        <v>6.18</v>
      </c>
      <c r="F49">
        <v>14</v>
      </c>
      <c r="G49" s="2">
        <v>2315824</v>
      </c>
      <c r="H49" s="2">
        <f>T2_Daily_Feed_Req[[#This Row],[Weekly ABW (g)]]*T2_Daily_Feed_Req[[#This Row],[Latest Pop Count]]/1000</f>
        <v>14311.792319999999</v>
      </c>
      <c r="I49">
        <f>VLOOKUP(T2_Daily_Feed_Req[[#This Row],[Weekly ABW (g)]],MAIN!$A$2:$B$10,2,TRUE)</f>
        <v>5.5</v>
      </c>
      <c r="J49" s="2">
        <f>T2_Daily_Feed_Req[[#This Row],[Current Biomass (kg)]]*T2_Daily_Feed_Req[[#This Row],[Calc Feed Rate (%)]]/100</f>
        <v>787.14857759999995</v>
      </c>
    </row>
    <row r="50" spans="1:10" ht="21.75" customHeight="1" x14ac:dyDescent="0.25">
      <c r="A50" s="15">
        <f t="shared" si="1"/>
        <v>46037</v>
      </c>
      <c r="B50" t="s">
        <v>17</v>
      </c>
      <c r="C50">
        <v>9.6</v>
      </c>
      <c r="D50" s="2">
        <v>4320502</v>
      </c>
      <c r="E50">
        <v>5.88</v>
      </c>
      <c r="F50">
        <v>14</v>
      </c>
      <c r="G50" s="2">
        <v>3182044</v>
      </c>
      <c r="H50" s="2">
        <f>T2_Daily_Feed_Req[[#This Row],[Weekly ABW (g)]]*T2_Daily_Feed_Req[[#This Row],[Latest Pop Count]]/1000</f>
        <v>18710.418719999998</v>
      </c>
      <c r="I50">
        <f>VLOOKUP(T2_Daily_Feed_Req[[#This Row],[Weekly ABW (g)]],MAIN!$A$2:$B$10,2,TRUE)</f>
        <v>5.5</v>
      </c>
      <c r="J50" s="2">
        <f>T2_Daily_Feed_Req[[#This Row],[Current Biomass (kg)]]*T2_Daily_Feed_Req[[#This Row],[Calc Feed Rate (%)]]/100</f>
        <v>1029.0730295999999</v>
      </c>
    </row>
    <row r="51" spans="1:10" ht="21.75" customHeight="1" x14ac:dyDescent="0.25">
      <c r="A51" s="15">
        <f t="shared" si="1"/>
        <v>46037</v>
      </c>
      <c r="B51" t="s">
        <v>18</v>
      </c>
      <c r="C51">
        <v>9.7100000000000009</v>
      </c>
      <c r="D51" s="2">
        <v>4368633</v>
      </c>
      <c r="E51">
        <v>4.33</v>
      </c>
      <c r="F51">
        <v>14</v>
      </c>
      <c r="G51" s="2">
        <v>3232163</v>
      </c>
      <c r="H51" s="2">
        <f>T2_Daily_Feed_Req[[#This Row],[Weekly ABW (g)]]*T2_Daily_Feed_Req[[#This Row],[Latest Pop Count]]/1000</f>
        <v>13995.265790000001</v>
      </c>
      <c r="I51">
        <f>VLOOKUP(T2_Daily_Feed_Req[[#This Row],[Weekly ABW (g)]],MAIN!$A$2:$B$10,2,TRUE)</f>
        <v>7</v>
      </c>
      <c r="J51" s="2">
        <f>T2_Daily_Feed_Req[[#This Row],[Current Biomass (kg)]]*T2_Daily_Feed_Req[[#This Row],[Calc Feed Rate (%)]]/100</f>
        <v>979.66860530000008</v>
      </c>
    </row>
    <row r="52" spans="1:10" ht="21.75" customHeight="1" x14ac:dyDescent="0.25">
      <c r="A52" s="15">
        <f t="shared" si="1"/>
        <v>46038</v>
      </c>
      <c r="B52" t="s">
        <v>20</v>
      </c>
      <c r="C52">
        <v>9.02</v>
      </c>
      <c r="D52" s="2">
        <v>4059263</v>
      </c>
      <c r="E52">
        <v>6.35</v>
      </c>
      <c r="F52">
        <v>14</v>
      </c>
      <c r="G52" s="2">
        <v>2133384</v>
      </c>
      <c r="H52" s="2">
        <f>T2_Daily_Feed_Req[[#This Row],[Weekly ABW (g)]]*T2_Daily_Feed_Req[[#This Row],[Latest Pop Count]]/1000</f>
        <v>13546.988399999998</v>
      </c>
      <c r="I52">
        <f>VLOOKUP(T2_Daily_Feed_Req[[#This Row],[Weekly ABW (g)]],MAIN!$A$2:$B$10,2,TRUE)</f>
        <v>5.5</v>
      </c>
      <c r="J52" s="2">
        <f>T2_Daily_Feed_Req[[#This Row],[Current Biomass (kg)]]*T2_Daily_Feed_Req[[#This Row],[Calc Feed Rate (%)]]/100</f>
        <v>745.08436199999994</v>
      </c>
    </row>
    <row r="53" spans="1:10" ht="21.75" customHeight="1" x14ac:dyDescent="0.25">
      <c r="A53" s="15">
        <f t="shared" si="1"/>
        <v>46038</v>
      </c>
      <c r="B53" t="s">
        <v>21</v>
      </c>
      <c r="C53">
        <v>9.9700000000000006</v>
      </c>
      <c r="D53" s="2">
        <v>4486459</v>
      </c>
      <c r="E53">
        <v>5.18</v>
      </c>
      <c r="F53">
        <v>14</v>
      </c>
      <c r="G53" s="2">
        <v>3344511</v>
      </c>
      <c r="H53" s="2">
        <f>T2_Daily_Feed_Req[[#This Row],[Weekly ABW (g)]]*T2_Daily_Feed_Req[[#This Row],[Latest Pop Count]]/1000</f>
        <v>17324.56698</v>
      </c>
      <c r="I53">
        <f>VLOOKUP(T2_Daily_Feed_Req[[#This Row],[Weekly ABW (g)]],MAIN!$A$2:$B$10,2,TRUE)</f>
        <v>5.5</v>
      </c>
      <c r="J53" s="2">
        <f>T2_Daily_Feed_Req[[#This Row],[Current Biomass (kg)]]*T2_Daily_Feed_Req[[#This Row],[Calc Feed Rate (%)]]/100</f>
        <v>952.85118390000002</v>
      </c>
    </row>
    <row r="54" spans="1:10" ht="21.75" customHeight="1" x14ac:dyDescent="0.25">
      <c r="A54" s="15">
        <f t="shared" si="1"/>
        <v>46038</v>
      </c>
      <c r="B54" t="s">
        <v>22</v>
      </c>
      <c r="C54">
        <v>9.83</v>
      </c>
      <c r="D54" s="2">
        <v>4424599</v>
      </c>
      <c r="E54">
        <v>5.81</v>
      </c>
      <c r="F54">
        <v>14</v>
      </c>
      <c r="G54" s="2">
        <v>3294426</v>
      </c>
      <c r="H54" s="2">
        <f>T2_Daily_Feed_Req[[#This Row],[Weekly ABW (g)]]*T2_Daily_Feed_Req[[#This Row],[Latest Pop Count]]/1000</f>
        <v>19140.61506</v>
      </c>
      <c r="I54">
        <f>VLOOKUP(T2_Daily_Feed_Req[[#This Row],[Weekly ABW (g)]],MAIN!$A$2:$B$10,2,TRUE)</f>
        <v>5.5</v>
      </c>
      <c r="J54" s="2">
        <f>T2_Daily_Feed_Req[[#This Row],[Current Biomass (kg)]]*T2_Daily_Feed_Req[[#This Row],[Calc Feed Rate (%)]]/100</f>
        <v>1052.7338282999999</v>
      </c>
    </row>
    <row r="55" spans="1:10" ht="21.75" customHeight="1" x14ac:dyDescent="0.25">
      <c r="A55" s="15">
        <f t="shared" si="1"/>
        <v>46038</v>
      </c>
      <c r="B55" t="s">
        <v>23</v>
      </c>
      <c r="C55">
        <v>9.2100000000000009</v>
      </c>
      <c r="D55" s="2">
        <v>4145553</v>
      </c>
      <c r="E55">
        <v>7.43</v>
      </c>
      <c r="F55">
        <v>14</v>
      </c>
      <c r="G55" s="2">
        <v>1784665</v>
      </c>
      <c r="H55" s="2">
        <f>T2_Daily_Feed_Req[[#This Row],[Weekly ABW (g)]]*T2_Daily_Feed_Req[[#This Row],[Latest Pop Count]]/1000</f>
        <v>13260.060949999999</v>
      </c>
      <c r="I55">
        <f>VLOOKUP(T2_Daily_Feed_Req[[#This Row],[Weekly ABW (g)]],MAIN!$A$2:$B$10,2,TRUE)</f>
        <v>5.5</v>
      </c>
      <c r="J55" s="2">
        <f>T2_Daily_Feed_Req[[#This Row],[Current Biomass (kg)]]*T2_Daily_Feed_Req[[#This Row],[Calc Feed Rate (%)]]/100</f>
        <v>729.30335224999988</v>
      </c>
    </row>
    <row r="56" spans="1:10" ht="21.75" customHeight="1" x14ac:dyDescent="0.25">
      <c r="A56" s="15">
        <f t="shared" si="1"/>
        <v>46038</v>
      </c>
      <c r="B56" t="s">
        <v>24</v>
      </c>
      <c r="C56">
        <v>9.18</v>
      </c>
      <c r="D56" s="2">
        <v>4131821</v>
      </c>
      <c r="E56">
        <v>7.04</v>
      </c>
      <c r="F56">
        <v>14</v>
      </c>
      <c r="G56" s="2">
        <v>3069856</v>
      </c>
      <c r="H56" s="2">
        <f>T2_Daily_Feed_Req[[#This Row],[Weekly ABW (g)]]*T2_Daily_Feed_Req[[#This Row],[Latest Pop Count]]/1000</f>
        <v>21611.786239999998</v>
      </c>
      <c r="I56">
        <f>VLOOKUP(T2_Daily_Feed_Req[[#This Row],[Weekly ABW (g)]],MAIN!$A$2:$B$10,2,TRUE)</f>
        <v>5.5</v>
      </c>
      <c r="J56" s="2">
        <f>T2_Daily_Feed_Req[[#This Row],[Current Biomass (kg)]]*T2_Daily_Feed_Req[[#This Row],[Calc Feed Rate (%)]]/100</f>
        <v>1188.6482431999998</v>
      </c>
    </row>
    <row r="57" spans="1:10" ht="21.75" customHeight="1" x14ac:dyDescent="0.25">
      <c r="A57" s="15">
        <f t="shared" si="1"/>
        <v>46039</v>
      </c>
      <c r="B57" t="s">
        <v>26</v>
      </c>
      <c r="C57">
        <v>9.18</v>
      </c>
      <c r="D57" s="2">
        <v>4132532</v>
      </c>
      <c r="E57">
        <v>7.23</v>
      </c>
      <c r="F57">
        <v>14</v>
      </c>
      <c r="G57" s="2">
        <v>3066197</v>
      </c>
      <c r="H57" s="2">
        <f>T2_Daily_Feed_Req[[#This Row],[Weekly ABW (g)]]*T2_Daily_Feed_Req[[#This Row],[Latest Pop Count]]/1000</f>
        <v>22168.604310000002</v>
      </c>
      <c r="I57">
        <f>VLOOKUP(T2_Daily_Feed_Req[[#This Row],[Weekly ABW (g)]],MAIN!$A$2:$B$10,2,TRUE)</f>
        <v>5.5</v>
      </c>
      <c r="J57" s="2">
        <f>T2_Daily_Feed_Req[[#This Row],[Current Biomass (kg)]]*T2_Daily_Feed_Req[[#This Row],[Calc Feed Rate (%)]]/100</f>
        <v>1219.2732370500003</v>
      </c>
    </row>
    <row r="58" spans="1:10" ht="21.75" customHeight="1" x14ac:dyDescent="0.25">
      <c r="A58" s="15">
        <f t="shared" si="1"/>
        <v>46039</v>
      </c>
      <c r="B58" t="s">
        <v>27</v>
      </c>
      <c r="C58">
        <v>9.3000000000000007</v>
      </c>
      <c r="D58" s="2">
        <v>4186909</v>
      </c>
      <c r="E58">
        <v>5.41</v>
      </c>
      <c r="F58">
        <v>14</v>
      </c>
      <c r="G58" s="2">
        <v>3088826</v>
      </c>
      <c r="H58" s="2">
        <f>T2_Daily_Feed_Req[[#This Row],[Weekly ABW (g)]]*T2_Daily_Feed_Req[[#This Row],[Latest Pop Count]]/1000</f>
        <v>16710.54866</v>
      </c>
      <c r="I58">
        <f>VLOOKUP(T2_Daily_Feed_Req[[#This Row],[Weekly ABW (g)]],MAIN!$A$2:$B$10,2,TRUE)</f>
        <v>5.5</v>
      </c>
      <c r="J58" s="2">
        <f>T2_Daily_Feed_Req[[#This Row],[Current Biomass (kg)]]*T2_Daily_Feed_Req[[#This Row],[Calc Feed Rate (%)]]/100</f>
        <v>919.08017630000006</v>
      </c>
    </row>
    <row r="59" spans="1:10" ht="21.75" customHeight="1" x14ac:dyDescent="0.25">
      <c r="A59" s="15">
        <f t="shared" si="1"/>
        <v>46039</v>
      </c>
      <c r="B59" t="s">
        <v>28</v>
      </c>
      <c r="C59">
        <v>9.52</v>
      </c>
      <c r="D59" s="2">
        <v>4286140</v>
      </c>
      <c r="E59">
        <v>4.54</v>
      </c>
      <c r="F59">
        <v>14</v>
      </c>
      <c r="G59" s="2">
        <v>3185952</v>
      </c>
      <c r="H59" s="2">
        <f>T2_Daily_Feed_Req[[#This Row],[Weekly ABW (g)]]*T2_Daily_Feed_Req[[#This Row],[Latest Pop Count]]/1000</f>
        <v>14464.22208</v>
      </c>
      <c r="I59">
        <f>VLOOKUP(T2_Daily_Feed_Req[[#This Row],[Weekly ABW (g)]],MAIN!$A$2:$B$10,2,TRUE)</f>
        <v>7</v>
      </c>
      <c r="J59" s="2">
        <f>T2_Daily_Feed_Req[[#This Row],[Current Biomass (kg)]]*T2_Daily_Feed_Req[[#This Row],[Calc Feed Rate (%)]]/100</f>
        <v>1012.4955455999999</v>
      </c>
    </row>
    <row r="60" spans="1:10" ht="21.75" customHeight="1" x14ac:dyDescent="0.25">
      <c r="A60" s="15">
        <f t="shared" si="1"/>
        <v>46039</v>
      </c>
      <c r="B60" t="s">
        <v>29</v>
      </c>
      <c r="C60">
        <v>9.43</v>
      </c>
      <c r="D60" s="2">
        <v>4244375</v>
      </c>
      <c r="E60">
        <v>6.21</v>
      </c>
      <c r="F60">
        <v>14</v>
      </c>
      <c r="G60" s="2">
        <v>2347243</v>
      </c>
      <c r="H60" s="2">
        <f>T2_Daily_Feed_Req[[#This Row],[Weekly ABW (g)]]*T2_Daily_Feed_Req[[#This Row],[Latest Pop Count]]/1000</f>
        <v>14576.37903</v>
      </c>
      <c r="I60">
        <f>VLOOKUP(T2_Daily_Feed_Req[[#This Row],[Weekly ABW (g)]],MAIN!$A$2:$B$10,2,TRUE)</f>
        <v>5.5</v>
      </c>
      <c r="J60" s="2">
        <f>T2_Daily_Feed_Req[[#This Row],[Current Biomass (kg)]]*T2_Daily_Feed_Req[[#This Row],[Calc Feed Rate (%)]]/100</f>
        <v>801.70084665000002</v>
      </c>
    </row>
    <row r="61" spans="1:10" ht="21.75" customHeight="1" x14ac:dyDescent="0.25">
      <c r="A61" s="15">
        <f t="shared" si="1"/>
        <v>46039</v>
      </c>
      <c r="B61" t="s">
        <v>30</v>
      </c>
      <c r="C61">
        <v>9.2899999999999991</v>
      </c>
      <c r="D61" s="2">
        <v>4181053</v>
      </c>
      <c r="E61">
        <v>5.66</v>
      </c>
      <c r="F61">
        <v>14</v>
      </c>
      <c r="G61" s="2">
        <v>3100549</v>
      </c>
      <c r="H61" s="2">
        <f>T2_Daily_Feed_Req[[#This Row],[Weekly ABW (g)]]*T2_Daily_Feed_Req[[#This Row],[Latest Pop Count]]/1000</f>
        <v>17549.107339999999</v>
      </c>
      <c r="I61">
        <f>VLOOKUP(T2_Daily_Feed_Req[[#This Row],[Weekly ABW (g)]],MAIN!$A$2:$B$10,2,TRUE)</f>
        <v>5.5</v>
      </c>
      <c r="J61" s="2">
        <f>T2_Daily_Feed_Req[[#This Row],[Current Biomass (kg)]]*T2_Daily_Feed_Req[[#This Row],[Calc Feed Rate (%)]]/100</f>
        <v>965.20090369999991</v>
      </c>
    </row>
    <row r="62" spans="1:10" ht="21.75" customHeight="1" x14ac:dyDescent="0.25">
      <c r="A62" s="15">
        <f>A42+7</f>
        <v>46043</v>
      </c>
      <c r="B62" t="s">
        <v>8</v>
      </c>
      <c r="C62">
        <v>9.3699999999999992</v>
      </c>
      <c r="D62" s="2">
        <v>4218543</v>
      </c>
      <c r="E62">
        <v>6.69</v>
      </c>
      <c r="F62">
        <v>21</v>
      </c>
      <c r="G62" s="2">
        <v>3113041</v>
      </c>
      <c r="H62" s="2">
        <f>T2_Daily_Feed_Req[[#This Row],[Weekly ABW (g)]]*T2_Daily_Feed_Req[[#This Row],[Latest Pop Count]]/1000</f>
        <v>20826.244290000002</v>
      </c>
      <c r="I62">
        <f>VLOOKUP(T2_Daily_Feed_Req[[#This Row],[Weekly ABW (g)]],MAIN!$A$2:$B$10,2,TRUE)</f>
        <v>5.5</v>
      </c>
      <c r="J62" s="2">
        <f>T2_Daily_Feed_Req[[#This Row],[Current Biomass (kg)]]*T2_Daily_Feed_Req[[#This Row],[Calc Feed Rate (%)]]/100</f>
        <v>1145.4434359500001</v>
      </c>
    </row>
    <row r="63" spans="1:10" ht="21.75" customHeight="1" x14ac:dyDescent="0.25">
      <c r="A63" s="15">
        <f t="shared" ref="A63:A81" si="2">A43+7</f>
        <v>46043</v>
      </c>
      <c r="B63" t="s">
        <v>9</v>
      </c>
      <c r="C63">
        <v>9.9499999999999993</v>
      </c>
      <c r="D63" s="2">
        <v>4477821</v>
      </c>
      <c r="E63">
        <v>6.87</v>
      </c>
      <c r="F63">
        <v>21</v>
      </c>
      <c r="G63" s="2">
        <v>3315556</v>
      </c>
      <c r="H63" s="2">
        <f>T2_Daily_Feed_Req[[#This Row],[Weekly ABW (g)]]*T2_Daily_Feed_Req[[#This Row],[Latest Pop Count]]/1000</f>
        <v>22777.869719999999</v>
      </c>
      <c r="I63">
        <f>VLOOKUP(T2_Daily_Feed_Req[[#This Row],[Weekly ABW (g)]],MAIN!$A$2:$B$10,2,TRUE)</f>
        <v>5.5</v>
      </c>
      <c r="J63" s="2">
        <f>T2_Daily_Feed_Req[[#This Row],[Current Biomass (kg)]]*T2_Daily_Feed_Req[[#This Row],[Calc Feed Rate (%)]]/100</f>
        <v>1252.7828345999999</v>
      </c>
    </row>
    <row r="64" spans="1:10" ht="21.75" customHeight="1" x14ac:dyDescent="0.25">
      <c r="A64" s="15">
        <f t="shared" si="2"/>
        <v>46043</v>
      </c>
      <c r="B64" t="s">
        <v>10</v>
      </c>
      <c r="C64">
        <v>9.73</v>
      </c>
      <c r="D64" s="2">
        <v>4379397</v>
      </c>
      <c r="E64">
        <v>6.47</v>
      </c>
      <c r="F64">
        <v>21</v>
      </c>
      <c r="G64" s="2">
        <v>3228696</v>
      </c>
      <c r="H64" s="2">
        <f>T2_Daily_Feed_Req[[#This Row],[Weekly ABW (g)]]*T2_Daily_Feed_Req[[#This Row],[Latest Pop Count]]/1000</f>
        <v>20889.663120000001</v>
      </c>
      <c r="I64">
        <f>VLOOKUP(T2_Daily_Feed_Req[[#This Row],[Weekly ABW (g)]],MAIN!$A$2:$B$10,2,TRUE)</f>
        <v>5.5</v>
      </c>
      <c r="J64" s="2">
        <f>T2_Daily_Feed_Req[[#This Row],[Current Biomass (kg)]]*T2_Daily_Feed_Req[[#This Row],[Calc Feed Rate (%)]]/100</f>
        <v>1148.9314716000001</v>
      </c>
    </row>
    <row r="65" spans="1:10" ht="21.75" customHeight="1" x14ac:dyDescent="0.25">
      <c r="A65" s="15">
        <f t="shared" si="2"/>
        <v>46043</v>
      </c>
      <c r="B65" t="s">
        <v>11</v>
      </c>
      <c r="C65">
        <v>9.6</v>
      </c>
      <c r="D65" s="2">
        <v>4319396</v>
      </c>
      <c r="E65">
        <v>7.49</v>
      </c>
      <c r="F65">
        <v>21</v>
      </c>
      <c r="G65" s="2">
        <v>2289333</v>
      </c>
      <c r="H65" s="2">
        <f>T2_Daily_Feed_Req[[#This Row],[Weekly ABW (g)]]*T2_Daily_Feed_Req[[#This Row],[Latest Pop Count]]/1000</f>
        <v>17147.104170000002</v>
      </c>
      <c r="I65">
        <f>VLOOKUP(T2_Daily_Feed_Req[[#This Row],[Weekly ABW (g)]],MAIN!$A$2:$B$10,2,TRUE)</f>
        <v>5.5</v>
      </c>
      <c r="J65" s="2">
        <f>T2_Daily_Feed_Req[[#This Row],[Current Biomass (kg)]]*T2_Daily_Feed_Req[[#This Row],[Calc Feed Rate (%)]]/100</f>
        <v>943.09072935000017</v>
      </c>
    </row>
    <row r="66" spans="1:10" ht="21.75" customHeight="1" x14ac:dyDescent="0.25">
      <c r="A66" s="15">
        <f t="shared" si="2"/>
        <v>46043</v>
      </c>
      <c r="B66" t="s">
        <v>12</v>
      </c>
      <c r="C66">
        <v>9.16</v>
      </c>
      <c r="D66" s="2">
        <v>4120208</v>
      </c>
      <c r="E66">
        <v>7.04</v>
      </c>
      <c r="F66">
        <v>21</v>
      </c>
      <c r="G66" s="2">
        <v>3053116</v>
      </c>
      <c r="H66" s="2">
        <f>T2_Daily_Feed_Req[[#This Row],[Weekly ABW (g)]]*T2_Daily_Feed_Req[[#This Row],[Latest Pop Count]]/1000</f>
        <v>21493.93664</v>
      </c>
      <c r="I66">
        <f>VLOOKUP(T2_Daily_Feed_Req[[#This Row],[Weekly ABW (g)]],MAIN!$A$2:$B$10,2,TRUE)</f>
        <v>5.5</v>
      </c>
      <c r="J66" s="2">
        <f>T2_Daily_Feed_Req[[#This Row],[Current Biomass (kg)]]*T2_Daily_Feed_Req[[#This Row],[Calc Feed Rate (%)]]/100</f>
        <v>1182.1665152</v>
      </c>
    </row>
    <row r="67" spans="1:10" ht="21.75" customHeight="1" x14ac:dyDescent="0.25">
      <c r="A67" s="15">
        <f t="shared" si="2"/>
        <v>46044</v>
      </c>
      <c r="B67" t="s">
        <v>14</v>
      </c>
      <c r="C67">
        <v>9.16</v>
      </c>
      <c r="D67" s="2">
        <v>4120198</v>
      </c>
      <c r="E67">
        <v>8.14</v>
      </c>
      <c r="F67">
        <v>21</v>
      </c>
      <c r="G67" s="2">
        <v>2017488</v>
      </c>
      <c r="H67" s="2">
        <f>T2_Daily_Feed_Req[[#This Row],[Weekly ABW (g)]]*T2_Daily_Feed_Req[[#This Row],[Latest Pop Count]]/1000</f>
        <v>16422.352320000002</v>
      </c>
      <c r="I67">
        <f>VLOOKUP(T2_Daily_Feed_Req[[#This Row],[Weekly ABW (g)]],MAIN!$A$2:$B$10,2,TRUE)</f>
        <v>5.5</v>
      </c>
      <c r="J67" s="2">
        <f>T2_Daily_Feed_Req[[#This Row],[Current Biomass (kg)]]*T2_Daily_Feed_Req[[#This Row],[Calc Feed Rate (%)]]/100</f>
        <v>903.22937760000013</v>
      </c>
    </row>
    <row r="68" spans="1:10" ht="21.75" customHeight="1" x14ac:dyDescent="0.25">
      <c r="A68" s="15">
        <f t="shared" si="2"/>
        <v>46044</v>
      </c>
      <c r="B68" t="s">
        <v>15</v>
      </c>
      <c r="C68">
        <v>9.06</v>
      </c>
      <c r="D68" s="2">
        <v>4076138</v>
      </c>
      <c r="E68">
        <v>6.34</v>
      </c>
      <c r="F68">
        <v>21</v>
      </c>
      <c r="G68" s="2">
        <v>1897271</v>
      </c>
      <c r="H68" s="2">
        <f>T2_Daily_Feed_Req[[#This Row],[Weekly ABW (g)]]*T2_Daily_Feed_Req[[#This Row],[Latest Pop Count]]/1000</f>
        <v>12028.69814</v>
      </c>
      <c r="I68">
        <f>VLOOKUP(T2_Daily_Feed_Req[[#This Row],[Weekly ABW (g)]],MAIN!$A$2:$B$10,2,TRUE)</f>
        <v>5.5</v>
      </c>
      <c r="J68" s="2">
        <f>T2_Daily_Feed_Req[[#This Row],[Current Biomass (kg)]]*T2_Daily_Feed_Req[[#This Row],[Calc Feed Rate (%)]]/100</f>
        <v>661.5783977000001</v>
      </c>
    </row>
    <row r="69" spans="1:10" ht="21.75" customHeight="1" x14ac:dyDescent="0.25">
      <c r="A69" s="15">
        <f t="shared" si="2"/>
        <v>46044</v>
      </c>
      <c r="B69" t="s">
        <v>16</v>
      </c>
      <c r="C69">
        <v>9.8699999999999992</v>
      </c>
      <c r="D69" s="2">
        <v>4439779</v>
      </c>
      <c r="E69">
        <v>7.34</v>
      </c>
      <c r="F69">
        <v>21</v>
      </c>
      <c r="G69" s="2">
        <v>2308993</v>
      </c>
      <c r="H69" s="2">
        <f>T2_Daily_Feed_Req[[#This Row],[Weekly ABW (g)]]*T2_Daily_Feed_Req[[#This Row],[Latest Pop Count]]/1000</f>
        <v>16948.008620000001</v>
      </c>
      <c r="I69">
        <f>VLOOKUP(T2_Daily_Feed_Req[[#This Row],[Weekly ABW (g)]],MAIN!$A$2:$B$10,2,TRUE)</f>
        <v>5.5</v>
      </c>
      <c r="J69" s="2">
        <f>T2_Daily_Feed_Req[[#This Row],[Current Biomass (kg)]]*T2_Daily_Feed_Req[[#This Row],[Calc Feed Rate (%)]]/100</f>
        <v>932.14047410000001</v>
      </c>
    </row>
    <row r="70" spans="1:10" ht="21.75" customHeight="1" x14ac:dyDescent="0.25">
      <c r="A70" s="15">
        <f t="shared" si="2"/>
        <v>46044</v>
      </c>
      <c r="B70" t="s">
        <v>17</v>
      </c>
      <c r="C70">
        <v>9.6</v>
      </c>
      <c r="D70" s="2">
        <v>4320502</v>
      </c>
      <c r="E70">
        <v>6.92</v>
      </c>
      <c r="F70">
        <v>21</v>
      </c>
      <c r="G70" s="2">
        <v>3172527</v>
      </c>
      <c r="H70" s="2">
        <f>T2_Daily_Feed_Req[[#This Row],[Weekly ABW (g)]]*T2_Daily_Feed_Req[[#This Row],[Latest Pop Count]]/1000</f>
        <v>21953.886839999999</v>
      </c>
      <c r="I70">
        <f>VLOOKUP(T2_Daily_Feed_Req[[#This Row],[Weekly ABW (g)]],MAIN!$A$2:$B$10,2,TRUE)</f>
        <v>5.5</v>
      </c>
      <c r="J70" s="2">
        <f>T2_Daily_Feed_Req[[#This Row],[Current Biomass (kg)]]*T2_Daily_Feed_Req[[#This Row],[Calc Feed Rate (%)]]/100</f>
        <v>1207.4637762</v>
      </c>
    </row>
    <row r="71" spans="1:10" ht="21.75" customHeight="1" x14ac:dyDescent="0.25">
      <c r="A71" s="15">
        <f t="shared" si="2"/>
        <v>46044</v>
      </c>
      <c r="B71" t="s">
        <v>18</v>
      </c>
      <c r="C71">
        <v>9.7100000000000009</v>
      </c>
      <c r="D71" s="2">
        <v>4368633</v>
      </c>
      <c r="E71">
        <v>5.86</v>
      </c>
      <c r="F71">
        <v>21</v>
      </c>
      <c r="G71" s="2">
        <v>3221662</v>
      </c>
      <c r="H71" s="2">
        <f>T2_Daily_Feed_Req[[#This Row],[Weekly ABW (g)]]*T2_Daily_Feed_Req[[#This Row],[Latest Pop Count]]/1000</f>
        <v>18878.939320000001</v>
      </c>
      <c r="I71">
        <f>VLOOKUP(T2_Daily_Feed_Req[[#This Row],[Weekly ABW (g)]],MAIN!$A$2:$B$10,2,TRUE)</f>
        <v>5.5</v>
      </c>
      <c r="J71" s="2">
        <f>T2_Daily_Feed_Req[[#This Row],[Current Biomass (kg)]]*T2_Daily_Feed_Req[[#This Row],[Calc Feed Rate (%)]]/100</f>
        <v>1038.3416626000001</v>
      </c>
    </row>
    <row r="72" spans="1:10" ht="21.75" customHeight="1" x14ac:dyDescent="0.25">
      <c r="A72" s="15">
        <f t="shared" si="2"/>
        <v>46045</v>
      </c>
      <c r="B72" t="s">
        <v>20</v>
      </c>
      <c r="C72">
        <v>9.02</v>
      </c>
      <c r="D72" s="2">
        <v>4059263</v>
      </c>
      <c r="E72">
        <v>7.96</v>
      </c>
      <c r="F72">
        <v>21</v>
      </c>
      <c r="G72" s="2">
        <v>2081353</v>
      </c>
      <c r="H72" s="2">
        <f>T2_Daily_Feed_Req[[#This Row],[Weekly ABW (g)]]*T2_Daily_Feed_Req[[#This Row],[Latest Pop Count]]/1000</f>
        <v>16567.569879999999</v>
      </c>
      <c r="I72">
        <f>VLOOKUP(T2_Daily_Feed_Req[[#This Row],[Weekly ABW (g)]],MAIN!$A$2:$B$10,2,TRUE)</f>
        <v>5.5</v>
      </c>
      <c r="J72" s="2">
        <f>T2_Daily_Feed_Req[[#This Row],[Current Biomass (kg)]]*T2_Daily_Feed_Req[[#This Row],[Calc Feed Rate (%)]]/100</f>
        <v>911.21634339999991</v>
      </c>
    </row>
    <row r="73" spans="1:10" ht="21.75" customHeight="1" x14ac:dyDescent="0.25">
      <c r="A73" s="15">
        <f t="shared" si="2"/>
        <v>46045</v>
      </c>
      <c r="B73" t="s">
        <v>21</v>
      </c>
      <c r="C73">
        <v>9.9700000000000006</v>
      </c>
      <c r="D73" s="2">
        <v>4486459</v>
      </c>
      <c r="E73">
        <v>6.2</v>
      </c>
      <c r="F73">
        <v>21</v>
      </c>
      <c r="G73" s="2">
        <v>3327159</v>
      </c>
      <c r="H73" s="2">
        <f>T2_Daily_Feed_Req[[#This Row],[Weekly ABW (g)]]*T2_Daily_Feed_Req[[#This Row],[Latest Pop Count]]/1000</f>
        <v>20628.3858</v>
      </c>
      <c r="I73">
        <f>VLOOKUP(T2_Daily_Feed_Req[[#This Row],[Weekly ABW (g)]],MAIN!$A$2:$B$10,2,TRUE)</f>
        <v>5.5</v>
      </c>
      <c r="J73" s="2">
        <f>T2_Daily_Feed_Req[[#This Row],[Current Biomass (kg)]]*T2_Daily_Feed_Req[[#This Row],[Calc Feed Rate (%)]]/100</f>
        <v>1134.5612189999999</v>
      </c>
    </row>
    <row r="74" spans="1:10" ht="21.75" customHeight="1" x14ac:dyDescent="0.25">
      <c r="A74" s="15">
        <f t="shared" si="2"/>
        <v>46045</v>
      </c>
      <c r="B74" t="s">
        <v>22</v>
      </c>
      <c r="C74">
        <v>9.83</v>
      </c>
      <c r="D74" s="2">
        <v>4424599</v>
      </c>
      <c r="E74">
        <v>7.27</v>
      </c>
      <c r="F74">
        <v>21</v>
      </c>
      <c r="G74" s="2">
        <v>3291199</v>
      </c>
      <c r="H74" s="2">
        <f>T2_Daily_Feed_Req[[#This Row],[Weekly ABW (g)]]*T2_Daily_Feed_Req[[#This Row],[Latest Pop Count]]/1000</f>
        <v>23927.016729999999</v>
      </c>
      <c r="I74">
        <f>VLOOKUP(T2_Daily_Feed_Req[[#This Row],[Weekly ABW (g)]],MAIN!$A$2:$B$10,2,TRUE)</f>
        <v>5.5</v>
      </c>
      <c r="J74" s="2">
        <f>T2_Daily_Feed_Req[[#This Row],[Current Biomass (kg)]]*T2_Daily_Feed_Req[[#This Row],[Calc Feed Rate (%)]]/100</f>
        <v>1315.9859201500001</v>
      </c>
    </row>
    <row r="75" spans="1:10" ht="21.75" customHeight="1" x14ac:dyDescent="0.25">
      <c r="A75" s="15">
        <f t="shared" si="2"/>
        <v>46045</v>
      </c>
      <c r="B75" t="s">
        <v>23</v>
      </c>
      <c r="C75">
        <v>9.2100000000000009</v>
      </c>
      <c r="D75" s="2">
        <v>4145553</v>
      </c>
      <c r="E75">
        <v>8.6300000000000008</v>
      </c>
      <c r="F75">
        <v>21</v>
      </c>
      <c r="G75" s="2">
        <v>1769583</v>
      </c>
      <c r="H75" s="2">
        <f>T2_Daily_Feed_Req[[#This Row],[Weekly ABW (g)]]*T2_Daily_Feed_Req[[#This Row],[Latest Pop Count]]/1000</f>
        <v>15271.50129</v>
      </c>
      <c r="I75">
        <f>VLOOKUP(T2_Daily_Feed_Req[[#This Row],[Weekly ABW (g)]],MAIN!$A$2:$B$10,2,TRUE)</f>
        <v>5.5</v>
      </c>
      <c r="J75" s="2">
        <f>T2_Daily_Feed_Req[[#This Row],[Current Biomass (kg)]]*T2_Daily_Feed_Req[[#This Row],[Calc Feed Rate (%)]]/100</f>
        <v>839.93257095000013</v>
      </c>
    </row>
    <row r="76" spans="1:10" ht="21.75" customHeight="1" x14ac:dyDescent="0.25">
      <c r="A76" s="15">
        <f t="shared" si="2"/>
        <v>46045</v>
      </c>
      <c r="B76" t="s">
        <v>24</v>
      </c>
      <c r="C76">
        <v>9.18</v>
      </c>
      <c r="D76" s="2">
        <v>4131821</v>
      </c>
      <c r="E76">
        <v>8.6199999999999992</v>
      </c>
      <c r="F76">
        <v>21</v>
      </c>
      <c r="G76" s="2">
        <v>3053879</v>
      </c>
      <c r="H76" s="2">
        <f>T2_Daily_Feed_Req[[#This Row],[Weekly ABW (g)]]*T2_Daily_Feed_Req[[#This Row],[Latest Pop Count]]/1000</f>
        <v>26324.436979999995</v>
      </c>
      <c r="I76">
        <f>VLOOKUP(T2_Daily_Feed_Req[[#This Row],[Weekly ABW (g)]],MAIN!$A$2:$B$10,2,TRUE)</f>
        <v>5.5</v>
      </c>
      <c r="J76" s="2">
        <f>T2_Daily_Feed_Req[[#This Row],[Current Biomass (kg)]]*T2_Daily_Feed_Req[[#This Row],[Calc Feed Rate (%)]]/100</f>
        <v>1447.8440338999997</v>
      </c>
    </row>
    <row r="77" spans="1:10" ht="21.75" customHeight="1" x14ac:dyDescent="0.25">
      <c r="A77" s="15">
        <f t="shared" si="2"/>
        <v>46046</v>
      </c>
      <c r="B77" t="s">
        <v>26</v>
      </c>
      <c r="C77">
        <v>9.18</v>
      </c>
      <c r="D77" s="2">
        <v>4132532</v>
      </c>
      <c r="E77">
        <v>8.39</v>
      </c>
      <c r="F77">
        <v>21</v>
      </c>
      <c r="G77" s="2">
        <v>3060517</v>
      </c>
      <c r="H77" s="2">
        <f>T2_Daily_Feed_Req[[#This Row],[Weekly ABW (g)]]*T2_Daily_Feed_Req[[#This Row],[Latest Pop Count]]/1000</f>
        <v>25677.737630000003</v>
      </c>
      <c r="I77">
        <f>VLOOKUP(T2_Daily_Feed_Req[[#This Row],[Weekly ABW (g)]],MAIN!$A$2:$B$10,2,TRUE)</f>
        <v>5.5</v>
      </c>
      <c r="J77" s="2">
        <f>T2_Daily_Feed_Req[[#This Row],[Current Biomass (kg)]]*T2_Daily_Feed_Req[[#This Row],[Calc Feed Rate (%)]]/100</f>
        <v>1412.2755696500003</v>
      </c>
    </row>
    <row r="78" spans="1:10" ht="21.75" customHeight="1" x14ac:dyDescent="0.25">
      <c r="A78" s="15">
        <f t="shared" si="2"/>
        <v>46046</v>
      </c>
      <c r="B78" t="s">
        <v>27</v>
      </c>
      <c r="C78">
        <v>9.3000000000000007</v>
      </c>
      <c r="D78" s="2">
        <v>4186909</v>
      </c>
      <c r="E78">
        <v>7.03</v>
      </c>
      <c r="F78">
        <v>21</v>
      </c>
      <c r="G78" s="2">
        <v>3073957</v>
      </c>
      <c r="H78" s="2">
        <f>T2_Daily_Feed_Req[[#This Row],[Weekly ABW (g)]]*T2_Daily_Feed_Req[[#This Row],[Latest Pop Count]]/1000</f>
        <v>21609.917710000002</v>
      </c>
      <c r="I78">
        <f>VLOOKUP(T2_Daily_Feed_Req[[#This Row],[Weekly ABW (g)]],MAIN!$A$2:$B$10,2,TRUE)</f>
        <v>5.5</v>
      </c>
      <c r="J78" s="2">
        <f>T2_Daily_Feed_Req[[#This Row],[Current Biomass (kg)]]*T2_Daily_Feed_Req[[#This Row],[Calc Feed Rate (%)]]/100</f>
        <v>1188.5454740499999</v>
      </c>
    </row>
    <row r="79" spans="1:10" ht="21.75" customHeight="1" x14ac:dyDescent="0.25">
      <c r="A79" s="15">
        <f t="shared" si="2"/>
        <v>46046</v>
      </c>
      <c r="B79" t="s">
        <v>28</v>
      </c>
      <c r="C79">
        <v>9.52</v>
      </c>
      <c r="D79" s="2">
        <v>4286140</v>
      </c>
      <c r="E79">
        <v>5.89</v>
      </c>
      <c r="F79">
        <v>21</v>
      </c>
      <c r="G79" s="2">
        <v>3177681</v>
      </c>
      <c r="H79" s="2">
        <f>T2_Daily_Feed_Req[[#This Row],[Weekly ABW (g)]]*T2_Daily_Feed_Req[[#This Row],[Latest Pop Count]]/1000</f>
        <v>18716.541089999999</v>
      </c>
      <c r="I79">
        <f>VLOOKUP(T2_Daily_Feed_Req[[#This Row],[Weekly ABW (g)]],MAIN!$A$2:$B$10,2,TRUE)</f>
        <v>5.5</v>
      </c>
      <c r="J79" s="2">
        <f>T2_Daily_Feed_Req[[#This Row],[Current Biomass (kg)]]*T2_Daily_Feed_Req[[#This Row],[Calc Feed Rate (%)]]/100</f>
        <v>1029.4097599499999</v>
      </c>
    </row>
    <row r="80" spans="1:10" ht="21.75" customHeight="1" x14ac:dyDescent="0.25">
      <c r="A80" s="15">
        <f t="shared" si="2"/>
        <v>46046</v>
      </c>
      <c r="B80" t="s">
        <v>29</v>
      </c>
      <c r="C80">
        <v>9.43</v>
      </c>
      <c r="D80" s="2">
        <v>4244375</v>
      </c>
      <c r="E80">
        <v>8.06</v>
      </c>
      <c r="F80">
        <v>21</v>
      </c>
      <c r="G80" s="2">
        <v>2298185</v>
      </c>
      <c r="H80" s="2">
        <f>T2_Daily_Feed_Req[[#This Row],[Weekly ABW (g)]]*T2_Daily_Feed_Req[[#This Row],[Latest Pop Count]]/1000</f>
        <v>18523.3711</v>
      </c>
      <c r="I80">
        <f>VLOOKUP(T2_Daily_Feed_Req[[#This Row],[Weekly ABW (g)]],MAIN!$A$2:$B$10,2,TRUE)</f>
        <v>5.5</v>
      </c>
      <c r="J80" s="2">
        <f>T2_Daily_Feed_Req[[#This Row],[Current Biomass (kg)]]*T2_Daily_Feed_Req[[#This Row],[Calc Feed Rate (%)]]/100</f>
        <v>1018.7854105</v>
      </c>
    </row>
    <row r="81" spans="1:10" ht="21.75" customHeight="1" x14ac:dyDescent="0.25">
      <c r="A81" s="15">
        <f t="shared" si="2"/>
        <v>46046</v>
      </c>
      <c r="B81" t="s">
        <v>30</v>
      </c>
      <c r="C81">
        <v>9.2899999999999991</v>
      </c>
      <c r="D81" s="2">
        <v>4181053</v>
      </c>
      <c r="E81">
        <v>6.78</v>
      </c>
      <c r="F81">
        <v>21</v>
      </c>
      <c r="G81" s="2">
        <v>3084871</v>
      </c>
      <c r="H81" s="2">
        <f>T2_Daily_Feed_Req[[#This Row],[Weekly ABW (g)]]*T2_Daily_Feed_Req[[#This Row],[Latest Pop Count]]/1000</f>
        <v>20915.425380000001</v>
      </c>
      <c r="I81">
        <f>VLOOKUP(T2_Daily_Feed_Req[[#This Row],[Weekly ABW (g)]],MAIN!$A$2:$B$10,2,TRUE)</f>
        <v>5.5</v>
      </c>
      <c r="J81" s="2">
        <f>T2_Daily_Feed_Req[[#This Row],[Current Biomass (kg)]]*T2_Daily_Feed_Req[[#This Row],[Calc Feed Rate (%)]]/100</f>
        <v>1150.3483959</v>
      </c>
    </row>
    <row r="82" spans="1:10" ht="21.75" customHeight="1" x14ac:dyDescent="0.25">
      <c r="A82" s="15">
        <f>A62+7</f>
        <v>46050</v>
      </c>
      <c r="B82" t="s">
        <v>8</v>
      </c>
      <c r="C82">
        <v>9.3699999999999992</v>
      </c>
      <c r="D82" s="2">
        <v>4218543</v>
      </c>
      <c r="E82">
        <v>8.2799999999999994</v>
      </c>
      <c r="F82">
        <v>28</v>
      </c>
      <c r="G82" s="2">
        <v>3097974</v>
      </c>
      <c r="H82" s="2">
        <f>T2_Daily_Feed_Req[[#This Row],[Weekly ABW (g)]]*T2_Daily_Feed_Req[[#This Row],[Latest Pop Count]]/1000</f>
        <v>25651.224719999998</v>
      </c>
      <c r="I82">
        <f>VLOOKUP(T2_Daily_Feed_Req[[#This Row],[Weekly ABW (g)]],MAIN!$A$2:$B$10,2,TRUE)</f>
        <v>5.5</v>
      </c>
      <c r="J82" s="2">
        <f>T2_Daily_Feed_Req[[#This Row],[Current Biomass (kg)]]*T2_Daily_Feed_Req[[#This Row],[Calc Feed Rate (%)]]/100</f>
        <v>1410.8173595999999</v>
      </c>
    </row>
    <row r="83" spans="1:10" ht="21.75" customHeight="1" x14ac:dyDescent="0.25">
      <c r="A83" s="15">
        <f t="shared" ref="A83:A101" si="3">A63+7</f>
        <v>46050</v>
      </c>
      <c r="B83" t="s">
        <v>9</v>
      </c>
      <c r="C83">
        <v>9.9499999999999993</v>
      </c>
      <c r="D83" s="2">
        <v>4477821</v>
      </c>
      <c r="E83">
        <v>8.3800000000000008</v>
      </c>
      <c r="F83">
        <v>28</v>
      </c>
      <c r="G83" s="2">
        <v>3308873</v>
      </c>
      <c r="H83" s="2">
        <f>T2_Daily_Feed_Req[[#This Row],[Weekly ABW (g)]]*T2_Daily_Feed_Req[[#This Row],[Latest Pop Count]]/1000</f>
        <v>27728.355740000003</v>
      </c>
      <c r="I83">
        <f>VLOOKUP(T2_Daily_Feed_Req[[#This Row],[Weekly ABW (g)]],MAIN!$A$2:$B$10,2,TRUE)</f>
        <v>5.5</v>
      </c>
      <c r="J83" s="2">
        <f>T2_Daily_Feed_Req[[#This Row],[Current Biomass (kg)]]*T2_Daily_Feed_Req[[#This Row],[Calc Feed Rate (%)]]/100</f>
        <v>1525.0595657000001</v>
      </c>
    </row>
    <row r="84" spans="1:10" ht="21.75" customHeight="1" x14ac:dyDescent="0.25">
      <c r="A84" s="15">
        <f t="shared" si="3"/>
        <v>46050</v>
      </c>
      <c r="B84" t="s">
        <v>10</v>
      </c>
      <c r="C84">
        <v>9.73</v>
      </c>
      <c r="D84" s="2">
        <v>4379397</v>
      </c>
      <c r="E84">
        <v>7.55</v>
      </c>
      <c r="F84">
        <v>28</v>
      </c>
      <c r="G84" s="2">
        <v>3225328</v>
      </c>
      <c r="H84" s="2">
        <f>T2_Daily_Feed_Req[[#This Row],[Weekly ABW (g)]]*T2_Daily_Feed_Req[[#This Row],[Latest Pop Count]]/1000</f>
        <v>24351.2264</v>
      </c>
      <c r="I84">
        <f>VLOOKUP(T2_Daily_Feed_Req[[#This Row],[Weekly ABW (g)]],MAIN!$A$2:$B$10,2,TRUE)</f>
        <v>5.5</v>
      </c>
      <c r="J84" s="2">
        <f>T2_Daily_Feed_Req[[#This Row],[Current Biomass (kg)]]*T2_Daily_Feed_Req[[#This Row],[Calc Feed Rate (%)]]/100</f>
        <v>1339.317452</v>
      </c>
    </row>
    <row r="85" spans="1:10" ht="21.75" customHeight="1" x14ac:dyDescent="0.25">
      <c r="A85" s="15">
        <f t="shared" si="3"/>
        <v>46050</v>
      </c>
      <c r="B85" t="s">
        <v>11</v>
      </c>
      <c r="C85">
        <v>9.6</v>
      </c>
      <c r="D85" s="2">
        <v>4319396</v>
      </c>
      <c r="E85">
        <v>8.82</v>
      </c>
      <c r="F85">
        <v>28</v>
      </c>
      <c r="G85" s="2">
        <v>2232259</v>
      </c>
      <c r="H85" s="2">
        <f>T2_Daily_Feed_Req[[#This Row],[Weekly ABW (g)]]*T2_Daily_Feed_Req[[#This Row],[Latest Pop Count]]/1000</f>
        <v>19688.524379999999</v>
      </c>
      <c r="I85">
        <f>VLOOKUP(T2_Daily_Feed_Req[[#This Row],[Weekly ABW (g)]],MAIN!$A$2:$B$10,2,TRUE)</f>
        <v>5.5</v>
      </c>
      <c r="J85" s="2">
        <f>T2_Daily_Feed_Req[[#This Row],[Current Biomass (kg)]]*T2_Daily_Feed_Req[[#This Row],[Calc Feed Rate (%)]]/100</f>
        <v>1082.8688408999999</v>
      </c>
    </row>
    <row r="86" spans="1:10" ht="21.75" customHeight="1" x14ac:dyDescent="0.25">
      <c r="A86" s="15">
        <f t="shared" si="3"/>
        <v>46050</v>
      </c>
      <c r="B86" t="s">
        <v>12</v>
      </c>
      <c r="C86">
        <v>9.16</v>
      </c>
      <c r="D86" s="2">
        <v>4120208</v>
      </c>
      <c r="E86">
        <v>8.2799999999999994</v>
      </c>
      <c r="F86">
        <v>28</v>
      </c>
      <c r="G86" s="2">
        <v>3045919</v>
      </c>
      <c r="H86" s="2">
        <f>T2_Daily_Feed_Req[[#This Row],[Weekly ABW (g)]]*T2_Daily_Feed_Req[[#This Row],[Latest Pop Count]]/1000</f>
        <v>25220.209319999998</v>
      </c>
      <c r="I86">
        <f>VLOOKUP(T2_Daily_Feed_Req[[#This Row],[Weekly ABW (g)]],MAIN!$A$2:$B$10,2,TRUE)</f>
        <v>5.5</v>
      </c>
      <c r="J86" s="2">
        <f>T2_Daily_Feed_Req[[#This Row],[Current Biomass (kg)]]*T2_Daily_Feed_Req[[#This Row],[Calc Feed Rate (%)]]/100</f>
        <v>1387.1115125999997</v>
      </c>
    </row>
    <row r="87" spans="1:10" ht="21.75" customHeight="1" x14ac:dyDescent="0.25">
      <c r="A87" s="15">
        <f t="shared" si="3"/>
        <v>46051</v>
      </c>
      <c r="B87" t="s">
        <v>14</v>
      </c>
      <c r="C87">
        <v>9.16</v>
      </c>
      <c r="D87" s="2">
        <v>4120198</v>
      </c>
      <c r="E87">
        <v>9.36</v>
      </c>
      <c r="F87">
        <v>28</v>
      </c>
      <c r="G87" s="2">
        <v>2008765</v>
      </c>
      <c r="H87" s="2">
        <f>T2_Daily_Feed_Req[[#This Row],[Weekly ABW (g)]]*T2_Daily_Feed_Req[[#This Row],[Latest Pop Count]]/1000</f>
        <v>18802.040399999998</v>
      </c>
      <c r="I87">
        <f>VLOOKUP(T2_Daily_Feed_Req[[#This Row],[Weekly ABW (g)]],MAIN!$A$2:$B$10,2,TRUE)</f>
        <v>5.5</v>
      </c>
      <c r="J87" s="2">
        <f>T2_Daily_Feed_Req[[#This Row],[Current Biomass (kg)]]*T2_Daily_Feed_Req[[#This Row],[Calc Feed Rate (%)]]/100</f>
        <v>1034.112222</v>
      </c>
    </row>
    <row r="88" spans="1:10" ht="21.75" customHeight="1" x14ac:dyDescent="0.25">
      <c r="A88" s="15">
        <f t="shared" si="3"/>
        <v>46051</v>
      </c>
      <c r="B88" t="s">
        <v>15</v>
      </c>
      <c r="C88">
        <v>9.06</v>
      </c>
      <c r="D88" s="2">
        <v>4076138</v>
      </c>
      <c r="E88">
        <v>8.2100000000000009</v>
      </c>
      <c r="F88">
        <v>28</v>
      </c>
      <c r="G88" s="2">
        <v>1861436</v>
      </c>
      <c r="H88" s="2">
        <f>T2_Daily_Feed_Req[[#This Row],[Weekly ABW (g)]]*T2_Daily_Feed_Req[[#This Row],[Latest Pop Count]]/1000</f>
        <v>15282.389560000003</v>
      </c>
      <c r="I88">
        <f>VLOOKUP(T2_Daily_Feed_Req[[#This Row],[Weekly ABW (g)]],MAIN!$A$2:$B$10,2,TRUE)</f>
        <v>5.5</v>
      </c>
      <c r="J88" s="2">
        <f>T2_Daily_Feed_Req[[#This Row],[Current Biomass (kg)]]*T2_Daily_Feed_Req[[#This Row],[Calc Feed Rate (%)]]/100</f>
        <v>840.53142580000019</v>
      </c>
    </row>
    <row r="89" spans="1:10" ht="21.75" customHeight="1" x14ac:dyDescent="0.25">
      <c r="A89" s="15">
        <f t="shared" si="3"/>
        <v>46051</v>
      </c>
      <c r="B89" t="s">
        <v>16</v>
      </c>
      <c r="C89">
        <v>9.8699999999999992</v>
      </c>
      <c r="D89" s="2">
        <v>4439779</v>
      </c>
      <c r="E89">
        <v>8.6999999999999993</v>
      </c>
      <c r="F89">
        <v>28</v>
      </c>
      <c r="G89" s="2">
        <v>2283890</v>
      </c>
      <c r="H89" s="2">
        <f>T2_Daily_Feed_Req[[#This Row],[Weekly ABW (g)]]*T2_Daily_Feed_Req[[#This Row],[Latest Pop Count]]/1000</f>
        <v>19869.843000000001</v>
      </c>
      <c r="I89">
        <f>VLOOKUP(T2_Daily_Feed_Req[[#This Row],[Weekly ABW (g)]],MAIN!$A$2:$B$10,2,TRUE)</f>
        <v>5.5</v>
      </c>
      <c r="J89" s="2">
        <f>T2_Daily_Feed_Req[[#This Row],[Current Biomass (kg)]]*T2_Daily_Feed_Req[[#This Row],[Calc Feed Rate (%)]]/100</f>
        <v>1092.841365</v>
      </c>
    </row>
    <row r="90" spans="1:10" ht="21.75" customHeight="1" x14ac:dyDescent="0.25">
      <c r="A90" s="15">
        <f t="shared" si="3"/>
        <v>46051</v>
      </c>
      <c r="B90" t="s">
        <v>17</v>
      </c>
      <c r="C90">
        <v>9.6</v>
      </c>
      <c r="D90" s="2">
        <v>4320502</v>
      </c>
      <c r="E90">
        <v>8.7200000000000006</v>
      </c>
      <c r="F90">
        <v>28</v>
      </c>
      <c r="G90" s="2">
        <v>3168765</v>
      </c>
      <c r="H90" s="2">
        <f>T2_Daily_Feed_Req[[#This Row],[Weekly ABW (g)]]*T2_Daily_Feed_Req[[#This Row],[Latest Pop Count]]/1000</f>
        <v>27631.630799999999</v>
      </c>
      <c r="I90">
        <f>VLOOKUP(T2_Daily_Feed_Req[[#This Row],[Weekly ABW (g)]],MAIN!$A$2:$B$10,2,TRUE)</f>
        <v>5.5</v>
      </c>
      <c r="J90" s="2">
        <f>T2_Daily_Feed_Req[[#This Row],[Current Biomass (kg)]]*T2_Daily_Feed_Req[[#This Row],[Calc Feed Rate (%)]]/100</f>
        <v>1519.7396940000001</v>
      </c>
    </row>
    <row r="91" spans="1:10" ht="21.75" customHeight="1" x14ac:dyDescent="0.25">
      <c r="A91" s="15">
        <f t="shared" si="3"/>
        <v>46051</v>
      </c>
      <c r="B91" t="s">
        <v>18</v>
      </c>
      <c r="C91">
        <v>9.7100000000000009</v>
      </c>
      <c r="D91" s="2">
        <v>4368633</v>
      </c>
      <c r="E91">
        <v>7.43</v>
      </c>
      <c r="F91">
        <v>28</v>
      </c>
      <c r="G91" s="2">
        <v>3208456</v>
      </c>
      <c r="H91" s="2">
        <f>T2_Daily_Feed_Req[[#This Row],[Weekly ABW (g)]]*T2_Daily_Feed_Req[[#This Row],[Latest Pop Count]]/1000</f>
        <v>23838.828079999999</v>
      </c>
      <c r="I91">
        <f>VLOOKUP(T2_Daily_Feed_Req[[#This Row],[Weekly ABW (g)]],MAIN!$A$2:$B$10,2,TRUE)</f>
        <v>5.5</v>
      </c>
      <c r="J91" s="2">
        <f>T2_Daily_Feed_Req[[#This Row],[Current Biomass (kg)]]*T2_Daily_Feed_Req[[#This Row],[Calc Feed Rate (%)]]/100</f>
        <v>1311.1355444000001</v>
      </c>
    </row>
    <row r="92" spans="1:10" ht="21.75" customHeight="1" x14ac:dyDescent="0.25">
      <c r="A92" s="15">
        <f t="shared" si="3"/>
        <v>46052</v>
      </c>
      <c r="B92" t="s">
        <v>20</v>
      </c>
      <c r="C92">
        <v>9.02</v>
      </c>
      <c r="D92" s="2">
        <v>4059263</v>
      </c>
      <c r="E92">
        <v>9.67</v>
      </c>
      <c r="F92">
        <v>28</v>
      </c>
      <c r="G92" s="2">
        <v>2073795</v>
      </c>
      <c r="H92" s="2">
        <f>T2_Daily_Feed_Req[[#This Row],[Weekly ABW (g)]]*T2_Daily_Feed_Req[[#This Row],[Latest Pop Count]]/1000</f>
        <v>20053.59765</v>
      </c>
      <c r="I92">
        <f>VLOOKUP(T2_Daily_Feed_Req[[#This Row],[Weekly ABW (g)]],MAIN!$A$2:$B$10,2,TRUE)</f>
        <v>5.5</v>
      </c>
      <c r="J92" s="2">
        <f>T2_Daily_Feed_Req[[#This Row],[Current Biomass (kg)]]*T2_Daily_Feed_Req[[#This Row],[Calc Feed Rate (%)]]/100</f>
        <v>1102.94787075</v>
      </c>
    </row>
    <row r="93" spans="1:10" ht="21.75" customHeight="1" x14ac:dyDescent="0.25">
      <c r="A93" s="15">
        <f t="shared" si="3"/>
        <v>46052</v>
      </c>
      <c r="B93" t="s">
        <v>21</v>
      </c>
      <c r="C93">
        <v>9.9700000000000006</v>
      </c>
      <c r="D93" s="2">
        <v>4486459</v>
      </c>
      <c r="E93">
        <v>7.65</v>
      </c>
      <c r="F93">
        <v>28</v>
      </c>
      <c r="G93" s="2">
        <v>3312111</v>
      </c>
      <c r="H93" s="2">
        <f>T2_Daily_Feed_Req[[#This Row],[Weekly ABW (g)]]*T2_Daily_Feed_Req[[#This Row],[Latest Pop Count]]/1000</f>
        <v>25337.649150000001</v>
      </c>
      <c r="I93">
        <f>VLOOKUP(T2_Daily_Feed_Req[[#This Row],[Weekly ABW (g)]],MAIN!$A$2:$B$10,2,TRUE)</f>
        <v>5.5</v>
      </c>
      <c r="J93" s="2">
        <f>T2_Daily_Feed_Req[[#This Row],[Current Biomass (kg)]]*T2_Daily_Feed_Req[[#This Row],[Calc Feed Rate (%)]]/100</f>
        <v>1393.5707032500002</v>
      </c>
    </row>
    <row r="94" spans="1:10" ht="21.75" customHeight="1" x14ac:dyDescent="0.25">
      <c r="A94" s="15">
        <f t="shared" si="3"/>
        <v>46052</v>
      </c>
      <c r="B94" t="s">
        <v>22</v>
      </c>
      <c r="C94">
        <v>9.83</v>
      </c>
      <c r="D94" s="2">
        <v>4424599</v>
      </c>
      <c r="E94">
        <v>8.7899999999999991</v>
      </c>
      <c r="F94">
        <v>28</v>
      </c>
      <c r="G94" s="2">
        <v>3285570</v>
      </c>
      <c r="H94" s="2">
        <f>T2_Daily_Feed_Req[[#This Row],[Weekly ABW (g)]]*T2_Daily_Feed_Req[[#This Row],[Latest Pop Count]]/1000</f>
        <v>28880.160299999996</v>
      </c>
      <c r="I94">
        <f>VLOOKUP(T2_Daily_Feed_Req[[#This Row],[Weekly ABW (g)]],MAIN!$A$2:$B$10,2,TRUE)</f>
        <v>5.5</v>
      </c>
      <c r="J94" s="2">
        <f>T2_Daily_Feed_Req[[#This Row],[Current Biomass (kg)]]*T2_Daily_Feed_Req[[#This Row],[Calc Feed Rate (%)]]/100</f>
        <v>1588.4088164999996</v>
      </c>
    </row>
    <row r="95" spans="1:10" ht="21.75" customHeight="1" x14ac:dyDescent="0.25">
      <c r="A95" s="15">
        <f t="shared" si="3"/>
        <v>46052</v>
      </c>
      <c r="B95" t="s">
        <v>23</v>
      </c>
      <c r="C95">
        <v>9.2100000000000009</v>
      </c>
      <c r="D95" s="2">
        <v>4145553</v>
      </c>
      <c r="E95">
        <v>10.08</v>
      </c>
      <c r="F95">
        <v>28</v>
      </c>
      <c r="G95" s="2">
        <v>1743786</v>
      </c>
      <c r="H95" s="2">
        <f>T2_Daily_Feed_Req[[#This Row],[Weekly ABW (g)]]*T2_Daily_Feed_Req[[#This Row],[Latest Pop Count]]/1000</f>
        <v>17577.362880000001</v>
      </c>
      <c r="I95">
        <f>VLOOKUP(T2_Daily_Feed_Req[[#This Row],[Weekly ABW (g)]],MAIN!$A$2:$B$10,2,TRUE)</f>
        <v>4.5</v>
      </c>
      <c r="J95" s="2">
        <f>T2_Daily_Feed_Req[[#This Row],[Current Biomass (kg)]]*T2_Daily_Feed_Req[[#This Row],[Calc Feed Rate (%)]]/100</f>
        <v>790.98132959999998</v>
      </c>
    </row>
    <row r="96" spans="1:10" ht="21.75" customHeight="1" x14ac:dyDescent="0.25">
      <c r="A96" s="15">
        <f t="shared" si="3"/>
        <v>46052</v>
      </c>
      <c r="B96" t="s">
        <v>24</v>
      </c>
      <c r="C96">
        <v>9.18</v>
      </c>
      <c r="D96" s="2">
        <v>4131821</v>
      </c>
      <c r="E96">
        <v>9.8000000000000007</v>
      </c>
      <c r="F96">
        <v>28</v>
      </c>
      <c r="G96" s="2">
        <v>3048036</v>
      </c>
      <c r="H96" s="2">
        <f>T2_Daily_Feed_Req[[#This Row],[Weekly ABW (g)]]*T2_Daily_Feed_Req[[#This Row],[Latest Pop Count]]/1000</f>
        <v>29870.752800000002</v>
      </c>
      <c r="I96">
        <f>VLOOKUP(T2_Daily_Feed_Req[[#This Row],[Weekly ABW (g)]],MAIN!$A$2:$B$10,2,TRUE)</f>
        <v>5.5</v>
      </c>
      <c r="J96" s="2">
        <f>T2_Daily_Feed_Req[[#This Row],[Current Biomass (kg)]]*T2_Daily_Feed_Req[[#This Row],[Calc Feed Rate (%)]]/100</f>
        <v>1642.891404</v>
      </c>
    </row>
    <row r="97" spans="1:10" ht="21.75" customHeight="1" x14ac:dyDescent="0.25">
      <c r="A97" s="15">
        <f t="shared" si="3"/>
        <v>46053</v>
      </c>
      <c r="B97" t="s">
        <v>26</v>
      </c>
      <c r="C97">
        <v>9.18</v>
      </c>
      <c r="D97" s="2">
        <v>4132532</v>
      </c>
      <c r="E97">
        <v>10.039999999999999</v>
      </c>
      <c r="F97">
        <v>28</v>
      </c>
      <c r="G97" s="2">
        <v>3053307</v>
      </c>
      <c r="H97" s="2">
        <f>T2_Daily_Feed_Req[[#This Row],[Weekly ABW (g)]]*T2_Daily_Feed_Req[[#This Row],[Latest Pop Count]]/1000</f>
        <v>30655.202279999998</v>
      </c>
      <c r="I97">
        <f>VLOOKUP(T2_Daily_Feed_Req[[#This Row],[Weekly ABW (g)]],MAIN!$A$2:$B$10,2,TRUE)</f>
        <v>4.5</v>
      </c>
      <c r="J97" s="2">
        <f>T2_Daily_Feed_Req[[#This Row],[Current Biomass (kg)]]*T2_Daily_Feed_Req[[#This Row],[Calc Feed Rate (%)]]/100</f>
        <v>1379.4841025999997</v>
      </c>
    </row>
    <row r="98" spans="1:10" ht="21.75" customHeight="1" x14ac:dyDescent="0.25">
      <c r="A98" s="15">
        <f t="shared" si="3"/>
        <v>46053</v>
      </c>
      <c r="B98" t="s">
        <v>27</v>
      </c>
      <c r="C98">
        <v>9.3000000000000007</v>
      </c>
      <c r="D98" s="2">
        <v>4186909</v>
      </c>
      <c r="E98">
        <v>8.2899999999999991</v>
      </c>
      <c r="F98">
        <v>28</v>
      </c>
      <c r="G98" s="2">
        <v>3057736</v>
      </c>
      <c r="H98" s="2">
        <f>T2_Daily_Feed_Req[[#This Row],[Weekly ABW (g)]]*T2_Daily_Feed_Req[[#This Row],[Latest Pop Count]]/1000</f>
        <v>25348.631439999997</v>
      </c>
      <c r="I98">
        <f>VLOOKUP(T2_Daily_Feed_Req[[#This Row],[Weekly ABW (g)]],MAIN!$A$2:$B$10,2,TRUE)</f>
        <v>5.5</v>
      </c>
      <c r="J98" s="2">
        <f>T2_Daily_Feed_Req[[#This Row],[Current Biomass (kg)]]*T2_Daily_Feed_Req[[#This Row],[Calc Feed Rate (%)]]/100</f>
        <v>1394.1747291999998</v>
      </c>
    </row>
    <row r="99" spans="1:10" ht="21.75" customHeight="1" x14ac:dyDescent="0.25">
      <c r="A99" s="15">
        <f t="shared" si="3"/>
        <v>46053</v>
      </c>
      <c r="B99" t="s">
        <v>28</v>
      </c>
      <c r="C99">
        <v>9.52</v>
      </c>
      <c r="D99" s="2">
        <v>4286140</v>
      </c>
      <c r="E99">
        <v>6.91</v>
      </c>
      <c r="F99">
        <v>28</v>
      </c>
      <c r="G99" s="2">
        <v>3166929</v>
      </c>
      <c r="H99" s="2">
        <f>T2_Daily_Feed_Req[[#This Row],[Weekly ABW (g)]]*T2_Daily_Feed_Req[[#This Row],[Latest Pop Count]]/1000</f>
        <v>21883.47939</v>
      </c>
      <c r="I99">
        <f>VLOOKUP(T2_Daily_Feed_Req[[#This Row],[Weekly ABW (g)]],MAIN!$A$2:$B$10,2,TRUE)</f>
        <v>5.5</v>
      </c>
      <c r="J99" s="2">
        <f>T2_Daily_Feed_Req[[#This Row],[Current Biomass (kg)]]*T2_Daily_Feed_Req[[#This Row],[Calc Feed Rate (%)]]/100</f>
        <v>1203.5913664500001</v>
      </c>
    </row>
    <row r="100" spans="1:10" ht="21.75" customHeight="1" x14ac:dyDescent="0.25">
      <c r="A100" s="15">
        <f t="shared" si="3"/>
        <v>46053</v>
      </c>
      <c r="B100" t="s">
        <v>29</v>
      </c>
      <c r="C100">
        <v>9.43</v>
      </c>
      <c r="D100" s="2">
        <v>4244375</v>
      </c>
      <c r="E100">
        <v>9.64</v>
      </c>
      <c r="F100">
        <v>28</v>
      </c>
      <c r="G100" s="2">
        <v>2258526</v>
      </c>
      <c r="H100" s="2">
        <f>T2_Daily_Feed_Req[[#This Row],[Weekly ABW (g)]]*T2_Daily_Feed_Req[[#This Row],[Latest Pop Count]]/1000</f>
        <v>21772.190640000001</v>
      </c>
      <c r="I100">
        <f>VLOOKUP(T2_Daily_Feed_Req[[#This Row],[Weekly ABW (g)]],MAIN!$A$2:$B$10,2,TRUE)</f>
        <v>5.5</v>
      </c>
      <c r="J100" s="2">
        <f>T2_Daily_Feed_Req[[#This Row],[Current Biomass (kg)]]*T2_Daily_Feed_Req[[#This Row],[Calc Feed Rate (%)]]/100</f>
        <v>1197.4704852000002</v>
      </c>
    </row>
    <row r="101" spans="1:10" ht="21.75" customHeight="1" x14ac:dyDescent="0.25">
      <c r="A101" s="15">
        <f t="shared" si="3"/>
        <v>46053</v>
      </c>
      <c r="B101" t="s">
        <v>30</v>
      </c>
      <c r="C101">
        <v>9.2899999999999991</v>
      </c>
      <c r="D101" s="2">
        <v>4181053</v>
      </c>
      <c r="E101">
        <v>7.94</v>
      </c>
      <c r="F101">
        <v>28</v>
      </c>
      <c r="G101" s="2">
        <v>3078711</v>
      </c>
      <c r="H101" s="2">
        <f>T2_Daily_Feed_Req[[#This Row],[Weekly ABW (g)]]*T2_Daily_Feed_Req[[#This Row],[Latest Pop Count]]/1000</f>
        <v>24444.965339999999</v>
      </c>
      <c r="I101">
        <f>VLOOKUP(T2_Daily_Feed_Req[[#This Row],[Weekly ABW (g)]],MAIN!$A$2:$B$10,2,TRUE)</f>
        <v>5.5</v>
      </c>
      <c r="J101" s="2">
        <f>T2_Daily_Feed_Req[[#This Row],[Current Biomass (kg)]]*T2_Daily_Feed_Req[[#This Row],[Calc Feed Rate (%)]]/100</f>
        <v>1344.4730936999999</v>
      </c>
    </row>
    <row r="102" spans="1:10" ht="21.75" customHeight="1" x14ac:dyDescent="0.25">
      <c r="A102" s="15">
        <f>A82+7</f>
        <v>46057</v>
      </c>
      <c r="B102" t="s">
        <v>8</v>
      </c>
      <c r="C102">
        <v>9.3699999999999992</v>
      </c>
      <c r="D102" s="2">
        <v>4218543</v>
      </c>
      <c r="E102">
        <v>10.09</v>
      </c>
      <c r="F102">
        <v>35</v>
      </c>
      <c r="G102" s="2">
        <v>3085124</v>
      </c>
      <c r="H102" s="2">
        <f>T2_Daily_Feed_Req[[#This Row],[Weekly ABW (g)]]*T2_Daily_Feed_Req[[#This Row],[Latest Pop Count]]/1000</f>
        <v>31128.901160000001</v>
      </c>
      <c r="I102">
        <f>VLOOKUP(T2_Daily_Feed_Req[[#This Row],[Weekly ABW (g)]],MAIN!$A$2:$B$10,2,TRUE)</f>
        <v>4.5</v>
      </c>
      <c r="J102" s="2">
        <f>T2_Daily_Feed_Req[[#This Row],[Current Biomass (kg)]]*T2_Daily_Feed_Req[[#This Row],[Calc Feed Rate (%)]]/100</f>
        <v>1400.8005522000001</v>
      </c>
    </row>
    <row r="103" spans="1:10" ht="21.75" customHeight="1" x14ac:dyDescent="0.25">
      <c r="A103" s="15">
        <f t="shared" ref="A103:A141" si="4">A83+7</f>
        <v>46057</v>
      </c>
      <c r="B103" t="s">
        <v>9</v>
      </c>
      <c r="C103">
        <v>9.9499999999999993</v>
      </c>
      <c r="D103" s="2">
        <v>4477821</v>
      </c>
      <c r="E103">
        <v>9.68</v>
      </c>
      <c r="F103">
        <v>35</v>
      </c>
      <c r="G103" s="2">
        <v>3305606</v>
      </c>
      <c r="H103" s="2">
        <f>T2_Daily_Feed_Req[[#This Row],[Weekly ABW (g)]]*T2_Daily_Feed_Req[[#This Row],[Latest Pop Count]]/1000</f>
        <v>31998.266079999998</v>
      </c>
      <c r="I103">
        <f>VLOOKUP(T2_Daily_Feed_Req[[#This Row],[Weekly ABW (g)]],MAIN!$A$2:$B$10,2,TRUE)</f>
        <v>5.5</v>
      </c>
      <c r="J103" s="2">
        <f>T2_Daily_Feed_Req[[#This Row],[Current Biomass (kg)]]*T2_Daily_Feed_Req[[#This Row],[Calc Feed Rate (%)]]/100</f>
        <v>1759.9046343999998</v>
      </c>
    </row>
    <row r="104" spans="1:10" ht="21.75" customHeight="1" x14ac:dyDescent="0.25">
      <c r="A104" s="15">
        <f t="shared" si="4"/>
        <v>46057</v>
      </c>
      <c r="B104" t="s">
        <v>10</v>
      </c>
      <c r="C104">
        <v>9.73</v>
      </c>
      <c r="D104" s="2">
        <v>4379397</v>
      </c>
      <c r="E104">
        <v>8.89</v>
      </c>
      <c r="F104">
        <v>35</v>
      </c>
      <c r="G104" s="2">
        <v>3210063</v>
      </c>
      <c r="H104" s="2">
        <f>T2_Daily_Feed_Req[[#This Row],[Weekly ABW (g)]]*T2_Daily_Feed_Req[[#This Row],[Latest Pop Count]]/1000</f>
        <v>28537.460070000001</v>
      </c>
      <c r="I104">
        <f>VLOOKUP(T2_Daily_Feed_Req[[#This Row],[Weekly ABW (g)]],MAIN!$A$2:$B$10,2,TRUE)</f>
        <v>5.5</v>
      </c>
      <c r="J104" s="2">
        <f>T2_Daily_Feed_Req[[#This Row],[Current Biomass (kg)]]*T2_Daily_Feed_Req[[#This Row],[Calc Feed Rate (%)]]/100</f>
        <v>1569.5603038499999</v>
      </c>
    </row>
    <row r="105" spans="1:10" ht="21.75" customHeight="1" x14ac:dyDescent="0.25">
      <c r="A105" s="15">
        <f t="shared" si="4"/>
        <v>46057</v>
      </c>
      <c r="B105" t="s">
        <v>11</v>
      </c>
      <c r="C105">
        <v>9.6</v>
      </c>
      <c r="D105" s="2">
        <v>4319396</v>
      </c>
      <c r="E105">
        <v>9.91</v>
      </c>
      <c r="F105">
        <v>35</v>
      </c>
      <c r="G105" s="2">
        <v>2168495</v>
      </c>
      <c r="H105" s="2">
        <f>T2_Daily_Feed_Req[[#This Row],[Weekly ABW (g)]]*T2_Daily_Feed_Req[[#This Row],[Latest Pop Count]]/1000</f>
        <v>21489.785449999999</v>
      </c>
      <c r="I105">
        <f>VLOOKUP(T2_Daily_Feed_Req[[#This Row],[Weekly ABW (g)]],MAIN!$A$2:$B$10,2,TRUE)</f>
        <v>5.5</v>
      </c>
      <c r="J105" s="2">
        <f>T2_Daily_Feed_Req[[#This Row],[Current Biomass (kg)]]*T2_Daily_Feed_Req[[#This Row],[Calc Feed Rate (%)]]/100</f>
        <v>1181.93819975</v>
      </c>
    </row>
    <row r="106" spans="1:10" ht="21.75" customHeight="1" x14ac:dyDescent="0.25">
      <c r="A106" s="15">
        <f t="shared" si="4"/>
        <v>46057</v>
      </c>
      <c r="B106" t="s">
        <v>12</v>
      </c>
      <c r="C106">
        <v>9.16</v>
      </c>
      <c r="D106" s="2">
        <v>4120208</v>
      </c>
      <c r="E106">
        <v>9.8000000000000007</v>
      </c>
      <c r="F106">
        <v>35</v>
      </c>
      <c r="G106" s="2">
        <v>3035392</v>
      </c>
      <c r="H106" s="2">
        <f>T2_Daily_Feed_Req[[#This Row],[Weekly ABW (g)]]*T2_Daily_Feed_Req[[#This Row],[Latest Pop Count]]/1000</f>
        <v>29746.8416</v>
      </c>
      <c r="I106">
        <f>VLOOKUP(T2_Daily_Feed_Req[[#This Row],[Weekly ABW (g)]],MAIN!$A$2:$B$10,2,TRUE)</f>
        <v>5.5</v>
      </c>
      <c r="J106" s="2">
        <f>T2_Daily_Feed_Req[[#This Row],[Current Biomass (kg)]]*T2_Daily_Feed_Req[[#This Row],[Calc Feed Rate (%)]]/100</f>
        <v>1636.076288</v>
      </c>
    </row>
    <row r="107" spans="1:10" ht="21.75" customHeight="1" x14ac:dyDescent="0.25">
      <c r="A107" s="15">
        <f t="shared" si="4"/>
        <v>46058</v>
      </c>
      <c r="B107" t="s">
        <v>14</v>
      </c>
      <c r="C107">
        <v>9.16</v>
      </c>
      <c r="D107" s="2">
        <v>4120198</v>
      </c>
      <c r="E107">
        <v>10.39</v>
      </c>
      <c r="F107">
        <v>35</v>
      </c>
      <c r="G107" s="2">
        <v>1991087</v>
      </c>
      <c r="H107" s="2">
        <f>T2_Daily_Feed_Req[[#This Row],[Weekly ABW (g)]]*T2_Daily_Feed_Req[[#This Row],[Latest Pop Count]]/1000</f>
        <v>20687.393929999998</v>
      </c>
      <c r="I107">
        <f>VLOOKUP(T2_Daily_Feed_Req[[#This Row],[Weekly ABW (g)]],MAIN!$A$2:$B$10,2,TRUE)</f>
        <v>4.5</v>
      </c>
      <c r="J107" s="2">
        <f>T2_Daily_Feed_Req[[#This Row],[Current Biomass (kg)]]*T2_Daily_Feed_Req[[#This Row],[Calc Feed Rate (%)]]/100</f>
        <v>930.93272684999988</v>
      </c>
    </row>
    <row r="108" spans="1:10" ht="21.75" customHeight="1" x14ac:dyDescent="0.25">
      <c r="A108" s="15">
        <f t="shared" si="4"/>
        <v>46058</v>
      </c>
      <c r="B108" t="s">
        <v>15</v>
      </c>
      <c r="C108">
        <v>9.06</v>
      </c>
      <c r="D108" s="2">
        <v>4076138</v>
      </c>
      <c r="E108">
        <v>9.6300000000000008</v>
      </c>
      <c r="F108">
        <v>35</v>
      </c>
      <c r="G108" s="2">
        <v>1827468</v>
      </c>
      <c r="H108" s="2">
        <f>T2_Daily_Feed_Req[[#This Row],[Weekly ABW (g)]]*T2_Daily_Feed_Req[[#This Row],[Latest Pop Count]]/1000</f>
        <v>17598.51684</v>
      </c>
      <c r="I108">
        <f>VLOOKUP(T2_Daily_Feed_Req[[#This Row],[Weekly ABW (g)]],MAIN!$A$2:$B$10,2,TRUE)</f>
        <v>5.5</v>
      </c>
      <c r="J108" s="2">
        <f>T2_Daily_Feed_Req[[#This Row],[Current Biomass (kg)]]*T2_Daily_Feed_Req[[#This Row],[Calc Feed Rate (%)]]/100</f>
        <v>967.9184262</v>
      </c>
    </row>
    <row r="109" spans="1:10" ht="21.75" customHeight="1" x14ac:dyDescent="0.25">
      <c r="A109" s="15">
        <f t="shared" si="4"/>
        <v>46058</v>
      </c>
      <c r="B109" t="s">
        <v>16</v>
      </c>
      <c r="C109">
        <v>9.8699999999999992</v>
      </c>
      <c r="D109" s="2">
        <v>4439779</v>
      </c>
      <c r="E109">
        <v>10.19</v>
      </c>
      <c r="F109">
        <v>35</v>
      </c>
      <c r="G109" s="2">
        <v>2279433</v>
      </c>
      <c r="H109" s="2">
        <f>T2_Daily_Feed_Req[[#This Row],[Weekly ABW (g)]]*T2_Daily_Feed_Req[[#This Row],[Latest Pop Count]]/1000</f>
        <v>23227.422269999999</v>
      </c>
      <c r="I109">
        <f>VLOOKUP(T2_Daily_Feed_Req[[#This Row],[Weekly ABW (g)]],MAIN!$A$2:$B$10,2,TRUE)</f>
        <v>4.5</v>
      </c>
      <c r="J109" s="2">
        <f>T2_Daily_Feed_Req[[#This Row],[Current Biomass (kg)]]*T2_Daily_Feed_Req[[#This Row],[Calc Feed Rate (%)]]/100</f>
        <v>1045.2340021499999</v>
      </c>
    </row>
    <row r="110" spans="1:10" ht="21.75" customHeight="1" x14ac:dyDescent="0.25">
      <c r="A110" s="15">
        <f t="shared" si="4"/>
        <v>46058</v>
      </c>
      <c r="B110" t="s">
        <v>17</v>
      </c>
      <c r="C110">
        <v>9.6</v>
      </c>
      <c r="D110" s="2">
        <v>4320502</v>
      </c>
      <c r="E110">
        <v>9.98</v>
      </c>
      <c r="F110">
        <v>35</v>
      </c>
      <c r="G110" s="2">
        <v>3161462</v>
      </c>
      <c r="H110" s="2">
        <f>T2_Daily_Feed_Req[[#This Row],[Weekly ABW (g)]]*T2_Daily_Feed_Req[[#This Row],[Latest Pop Count]]/1000</f>
        <v>31551.390760000002</v>
      </c>
      <c r="I110">
        <f>VLOOKUP(T2_Daily_Feed_Req[[#This Row],[Weekly ABW (g)]],MAIN!$A$2:$B$10,2,TRUE)</f>
        <v>5.5</v>
      </c>
      <c r="J110" s="2">
        <f>T2_Daily_Feed_Req[[#This Row],[Current Biomass (kg)]]*T2_Daily_Feed_Req[[#This Row],[Calc Feed Rate (%)]]/100</f>
        <v>1735.3264918</v>
      </c>
    </row>
    <row r="111" spans="1:10" ht="21.75" customHeight="1" x14ac:dyDescent="0.25">
      <c r="A111" s="15">
        <f t="shared" si="4"/>
        <v>46058</v>
      </c>
      <c r="B111" t="s">
        <v>18</v>
      </c>
      <c r="C111">
        <v>9.7100000000000009</v>
      </c>
      <c r="D111" s="2">
        <v>4368633</v>
      </c>
      <c r="E111">
        <v>8.9600000000000009</v>
      </c>
      <c r="F111">
        <v>35</v>
      </c>
      <c r="G111" s="2">
        <v>3193033</v>
      </c>
      <c r="H111" s="2">
        <f>T2_Daily_Feed_Req[[#This Row],[Weekly ABW (g)]]*T2_Daily_Feed_Req[[#This Row],[Latest Pop Count]]/1000</f>
        <v>28609.575680000002</v>
      </c>
      <c r="I111">
        <f>VLOOKUP(T2_Daily_Feed_Req[[#This Row],[Weekly ABW (g)]],MAIN!$A$2:$B$10,2,TRUE)</f>
        <v>5.5</v>
      </c>
      <c r="J111" s="2">
        <f>T2_Daily_Feed_Req[[#This Row],[Current Biomass (kg)]]*T2_Daily_Feed_Req[[#This Row],[Calc Feed Rate (%)]]/100</f>
        <v>1573.5266624000003</v>
      </c>
    </row>
    <row r="112" spans="1:10" ht="21.75" customHeight="1" x14ac:dyDescent="0.25">
      <c r="A112" s="15">
        <f t="shared" si="4"/>
        <v>46059</v>
      </c>
      <c r="B112" t="s">
        <v>20</v>
      </c>
      <c r="C112">
        <v>9.02</v>
      </c>
      <c r="D112" s="2">
        <v>4059263</v>
      </c>
      <c r="E112">
        <v>10.7</v>
      </c>
      <c r="F112">
        <v>35</v>
      </c>
      <c r="G112" s="2">
        <v>2041365</v>
      </c>
      <c r="H112" s="2">
        <f>T2_Daily_Feed_Req[[#This Row],[Weekly ABW (g)]]*T2_Daily_Feed_Req[[#This Row],[Latest Pop Count]]/1000</f>
        <v>21842.605500000001</v>
      </c>
      <c r="I112">
        <f>VLOOKUP(T2_Daily_Feed_Req[[#This Row],[Weekly ABW (g)]],MAIN!$A$2:$B$10,2,TRUE)</f>
        <v>4.5</v>
      </c>
      <c r="J112" s="2">
        <f>T2_Daily_Feed_Req[[#This Row],[Current Biomass (kg)]]*T2_Daily_Feed_Req[[#This Row],[Calc Feed Rate (%)]]/100</f>
        <v>982.91724750000003</v>
      </c>
    </row>
    <row r="113" spans="1:10" ht="21.75" customHeight="1" x14ac:dyDescent="0.25">
      <c r="A113" s="15">
        <f t="shared" si="4"/>
        <v>46059</v>
      </c>
      <c r="B113" t="s">
        <v>21</v>
      </c>
      <c r="C113">
        <v>9.9700000000000006</v>
      </c>
      <c r="D113" s="2">
        <v>4486459</v>
      </c>
      <c r="E113">
        <v>8.68</v>
      </c>
      <c r="F113">
        <v>35</v>
      </c>
      <c r="G113" s="2">
        <v>3298966</v>
      </c>
      <c r="H113" s="2">
        <f>T2_Daily_Feed_Req[[#This Row],[Weekly ABW (g)]]*T2_Daily_Feed_Req[[#This Row],[Latest Pop Count]]/1000</f>
        <v>28635.024879999997</v>
      </c>
      <c r="I113">
        <f>VLOOKUP(T2_Daily_Feed_Req[[#This Row],[Weekly ABW (g)]],MAIN!$A$2:$B$10,2,TRUE)</f>
        <v>5.5</v>
      </c>
      <c r="J113" s="2">
        <f>T2_Daily_Feed_Req[[#This Row],[Current Biomass (kg)]]*T2_Daily_Feed_Req[[#This Row],[Calc Feed Rate (%)]]/100</f>
        <v>1574.9263684</v>
      </c>
    </row>
    <row r="114" spans="1:10" ht="21.75" customHeight="1" x14ac:dyDescent="0.25">
      <c r="A114" s="15">
        <f t="shared" si="4"/>
        <v>46059</v>
      </c>
      <c r="B114" t="s">
        <v>22</v>
      </c>
      <c r="C114">
        <v>9.83</v>
      </c>
      <c r="D114" s="2">
        <v>4424599</v>
      </c>
      <c r="E114">
        <v>10.53</v>
      </c>
      <c r="F114">
        <v>35</v>
      </c>
      <c r="G114" s="2">
        <v>3281230</v>
      </c>
      <c r="H114" s="2">
        <f>T2_Daily_Feed_Req[[#This Row],[Weekly ABW (g)]]*T2_Daily_Feed_Req[[#This Row],[Latest Pop Count]]/1000</f>
        <v>34551.351900000001</v>
      </c>
      <c r="I114">
        <f>VLOOKUP(T2_Daily_Feed_Req[[#This Row],[Weekly ABW (g)]],MAIN!$A$2:$B$10,2,TRUE)</f>
        <v>4.5</v>
      </c>
      <c r="J114" s="2">
        <f>T2_Daily_Feed_Req[[#This Row],[Current Biomass (kg)]]*T2_Daily_Feed_Req[[#This Row],[Calc Feed Rate (%)]]/100</f>
        <v>1554.8108355000002</v>
      </c>
    </row>
    <row r="115" spans="1:10" ht="21.75" customHeight="1" x14ac:dyDescent="0.25">
      <c r="A115" s="15">
        <f t="shared" si="4"/>
        <v>46059</v>
      </c>
      <c r="B115" t="s">
        <v>23</v>
      </c>
      <c r="C115">
        <v>9.2100000000000009</v>
      </c>
      <c r="D115" s="2">
        <v>4145553</v>
      </c>
      <c r="E115">
        <v>11.4</v>
      </c>
      <c r="F115">
        <v>35</v>
      </c>
      <c r="G115" s="2">
        <v>1696449</v>
      </c>
      <c r="H115" s="2">
        <f>T2_Daily_Feed_Req[[#This Row],[Weekly ABW (g)]]*T2_Daily_Feed_Req[[#This Row],[Latest Pop Count]]/1000</f>
        <v>19339.518600000003</v>
      </c>
      <c r="I115">
        <f>VLOOKUP(T2_Daily_Feed_Req[[#This Row],[Weekly ABW (g)]],MAIN!$A$2:$B$10,2,TRUE)</f>
        <v>4.5</v>
      </c>
      <c r="J115" s="2">
        <f>T2_Daily_Feed_Req[[#This Row],[Current Biomass (kg)]]*T2_Daily_Feed_Req[[#This Row],[Calc Feed Rate (%)]]/100</f>
        <v>870.27833700000019</v>
      </c>
    </row>
    <row r="116" spans="1:10" ht="21.75" customHeight="1" x14ac:dyDescent="0.25">
      <c r="A116" s="15">
        <f t="shared" si="4"/>
        <v>46059</v>
      </c>
      <c r="B116" t="s">
        <v>24</v>
      </c>
      <c r="C116">
        <v>9.18</v>
      </c>
      <c r="D116" s="2">
        <v>4131821</v>
      </c>
      <c r="E116">
        <v>10.91</v>
      </c>
      <c r="F116">
        <v>35</v>
      </c>
      <c r="G116" s="2">
        <v>3033479</v>
      </c>
      <c r="H116" s="2">
        <f>T2_Daily_Feed_Req[[#This Row],[Weekly ABW (g)]]*T2_Daily_Feed_Req[[#This Row],[Latest Pop Count]]/1000</f>
        <v>33095.25589</v>
      </c>
      <c r="I116">
        <f>VLOOKUP(T2_Daily_Feed_Req[[#This Row],[Weekly ABW (g)]],MAIN!$A$2:$B$10,2,TRUE)</f>
        <v>4.5</v>
      </c>
      <c r="J116" s="2">
        <f>T2_Daily_Feed_Req[[#This Row],[Current Biomass (kg)]]*T2_Daily_Feed_Req[[#This Row],[Calc Feed Rate (%)]]/100</f>
        <v>1489.2865150500002</v>
      </c>
    </row>
    <row r="117" spans="1:10" ht="21.75" customHeight="1" x14ac:dyDescent="0.25">
      <c r="A117" s="15">
        <f t="shared" si="4"/>
        <v>46060</v>
      </c>
      <c r="B117" t="s">
        <v>26</v>
      </c>
      <c r="C117">
        <v>9.18</v>
      </c>
      <c r="D117" s="2">
        <v>4132532</v>
      </c>
      <c r="E117">
        <v>11.51</v>
      </c>
      <c r="F117">
        <v>35</v>
      </c>
      <c r="G117" s="2">
        <v>3050902</v>
      </c>
      <c r="H117" s="2">
        <f>T2_Daily_Feed_Req[[#This Row],[Weekly ABW (g)]]*T2_Daily_Feed_Req[[#This Row],[Latest Pop Count]]/1000</f>
        <v>35115.882019999997</v>
      </c>
      <c r="I117">
        <f>VLOOKUP(T2_Daily_Feed_Req[[#This Row],[Weekly ABW (g)]],MAIN!$A$2:$B$10,2,TRUE)</f>
        <v>4.5</v>
      </c>
      <c r="J117" s="2">
        <f>T2_Daily_Feed_Req[[#This Row],[Current Biomass (kg)]]*T2_Daily_Feed_Req[[#This Row],[Calc Feed Rate (%)]]/100</f>
        <v>1580.2146909000001</v>
      </c>
    </row>
    <row r="118" spans="1:10" ht="21.75" customHeight="1" x14ac:dyDescent="0.25">
      <c r="A118" s="15">
        <f t="shared" si="4"/>
        <v>46060</v>
      </c>
      <c r="B118" t="s">
        <v>27</v>
      </c>
      <c r="C118">
        <v>9.3000000000000007</v>
      </c>
      <c r="D118" s="2">
        <v>4186909</v>
      </c>
      <c r="E118">
        <v>9.98</v>
      </c>
      <c r="F118">
        <v>35</v>
      </c>
      <c r="G118" s="2">
        <v>3053274</v>
      </c>
      <c r="H118" s="2">
        <f>T2_Daily_Feed_Req[[#This Row],[Weekly ABW (g)]]*T2_Daily_Feed_Req[[#This Row],[Latest Pop Count]]/1000</f>
        <v>30471.67452</v>
      </c>
      <c r="I118">
        <f>VLOOKUP(T2_Daily_Feed_Req[[#This Row],[Weekly ABW (g)]],MAIN!$A$2:$B$10,2,TRUE)</f>
        <v>5.5</v>
      </c>
      <c r="J118" s="2">
        <f>T2_Daily_Feed_Req[[#This Row],[Current Biomass (kg)]]*T2_Daily_Feed_Req[[#This Row],[Calc Feed Rate (%)]]/100</f>
        <v>1675.9420986</v>
      </c>
    </row>
    <row r="119" spans="1:10" ht="21.75" customHeight="1" x14ac:dyDescent="0.25">
      <c r="A119" s="15">
        <f t="shared" si="4"/>
        <v>46060</v>
      </c>
      <c r="B119" t="s">
        <v>28</v>
      </c>
      <c r="C119">
        <v>9.52</v>
      </c>
      <c r="D119" s="2">
        <v>4286140</v>
      </c>
      <c r="E119">
        <v>8.1</v>
      </c>
      <c r="F119">
        <v>35</v>
      </c>
      <c r="G119" s="2">
        <v>3164771</v>
      </c>
      <c r="H119" s="2">
        <f>T2_Daily_Feed_Req[[#This Row],[Weekly ABW (g)]]*T2_Daily_Feed_Req[[#This Row],[Latest Pop Count]]/1000</f>
        <v>25634.645099999998</v>
      </c>
      <c r="I119">
        <f>VLOOKUP(T2_Daily_Feed_Req[[#This Row],[Weekly ABW (g)]],MAIN!$A$2:$B$10,2,TRUE)</f>
        <v>5.5</v>
      </c>
      <c r="J119" s="2">
        <f>T2_Daily_Feed_Req[[#This Row],[Current Biomass (kg)]]*T2_Daily_Feed_Req[[#This Row],[Calc Feed Rate (%)]]/100</f>
        <v>1409.9054804999998</v>
      </c>
    </row>
    <row r="120" spans="1:10" ht="21.75" customHeight="1" x14ac:dyDescent="0.25">
      <c r="A120" s="15">
        <f t="shared" si="4"/>
        <v>46060</v>
      </c>
      <c r="B120" t="s">
        <v>29</v>
      </c>
      <c r="C120">
        <v>9.43</v>
      </c>
      <c r="D120" s="2">
        <v>4244375</v>
      </c>
      <c r="E120">
        <v>11.2</v>
      </c>
      <c r="F120">
        <v>35</v>
      </c>
      <c r="G120" s="2">
        <v>2199210</v>
      </c>
      <c r="H120" s="2">
        <f>T2_Daily_Feed_Req[[#This Row],[Weekly ABW (g)]]*T2_Daily_Feed_Req[[#This Row],[Latest Pop Count]]/1000</f>
        <v>24631.151999999998</v>
      </c>
      <c r="I120">
        <f>VLOOKUP(T2_Daily_Feed_Req[[#This Row],[Weekly ABW (g)]],MAIN!$A$2:$B$10,2,TRUE)</f>
        <v>4.5</v>
      </c>
      <c r="J120" s="2">
        <f>T2_Daily_Feed_Req[[#This Row],[Current Biomass (kg)]]*T2_Daily_Feed_Req[[#This Row],[Calc Feed Rate (%)]]/100</f>
        <v>1108.40184</v>
      </c>
    </row>
    <row r="121" spans="1:10" ht="21.75" customHeight="1" x14ac:dyDescent="0.25">
      <c r="A121" s="15">
        <f t="shared" si="4"/>
        <v>46060</v>
      </c>
      <c r="B121" t="s">
        <v>30</v>
      </c>
      <c r="C121">
        <v>9.2899999999999991</v>
      </c>
      <c r="D121" s="2">
        <v>4181053</v>
      </c>
      <c r="E121">
        <v>9.02</v>
      </c>
      <c r="F121">
        <v>35</v>
      </c>
      <c r="G121" s="2">
        <v>3070069</v>
      </c>
      <c r="H121" s="2">
        <f>T2_Daily_Feed_Req[[#This Row],[Weekly ABW (g)]]*T2_Daily_Feed_Req[[#This Row],[Latest Pop Count]]/1000</f>
        <v>27692.022379999999</v>
      </c>
      <c r="I121">
        <f>VLOOKUP(T2_Daily_Feed_Req[[#This Row],[Weekly ABW (g)]],MAIN!$A$2:$B$10,2,TRUE)</f>
        <v>5.5</v>
      </c>
      <c r="J121" s="2">
        <f>T2_Daily_Feed_Req[[#This Row],[Current Biomass (kg)]]*T2_Daily_Feed_Req[[#This Row],[Calc Feed Rate (%)]]/100</f>
        <v>1523.0612308999998</v>
      </c>
    </row>
    <row r="122" spans="1:10" ht="21.75" customHeight="1" x14ac:dyDescent="0.25">
      <c r="A122" s="15">
        <f t="shared" si="4"/>
        <v>46064</v>
      </c>
      <c r="B122" t="s">
        <v>8</v>
      </c>
      <c r="C122">
        <v>9.3699999999999992</v>
      </c>
      <c r="D122" s="2">
        <v>4218543</v>
      </c>
      <c r="E122">
        <v>11.53</v>
      </c>
      <c r="F122">
        <v>42</v>
      </c>
      <c r="G122" s="2">
        <v>3075029</v>
      </c>
      <c r="H122" s="2">
        <f>T2_Daily_Feed_Req[[#This Row],[Weekly ABW (g)]]*T2_Daily_Feed_Req[[#This Row],[Latest Pop Count]]/1000</f>
        <v>35455.084369999997</v>
      </c>
      <c r="I122">
        <f>VLOOKUP(T2_Daily_Feed_Req[[#This Row],[Weekly ABW (g)]],MAIN!$A$2:$B$10,2,TRUE)</f>
        <v>4.5</v>
      </c>
      <c r="J122" s="2">
        <f>T2_Daily_Feed_Req[[#This Row],[Current Biomass (kg)]]*T2_Daily_Feed_Req[[#This Row],[Calc Feed Rate (%)]]/100</f>
        <v>1595.4787966499998</v>
      </c>
    </row>
    <row r="123" spans="1:10" ht="21.75" customHeight="1" x14ac:dyDescent="0.25">
      <c r="A123" s="15">
        <f t="shared" si="4"/>
        <v>46064</v>
      </c>
      <c r="B123" t="s">
        <v>9</v>
      </c>
      <c r="C123">
        <v>9.9499999999999993</v>
      </c>
      <c r="D123" s="2">
        <v>4477821</v>
      </c>
      <c r="E123">
        <v>11.11</v>
      </c>
      <c r="F123">
        <v>42</v>
      </c>
      <c r="G123" s="2">
        <v>3302483</v>
      </c>
      <c r="H123" s="2">
        <f>T2_Daily_Feed_Req[[#This Row],[Weekly ABW (g)]]*T2_Daily_Feed_Req[[#This Row],[Latest Pop Count]]/1000</f>
        <v>36690.586129999996</v>
      </c>
      <c r="I123">
        <f>VLOOKUP(T2_Daily_Feed_Req[[#This Row],[Weekly ABW (g)]],MAIN!$A$2:$B$10,2,TRUE)</f>
        <v>4.5</v>
      </c>
      <c r="J123" s="2">
        <f>T2_Daily_Feed_Req[[#This Row],[Current Biomass (kg)]]*T2_Daily_Feed_Req[[#This Row],[Calc Feed Rate (%)]]/100</f>
        <v>1651.07637585</v>
      </c>
    </row>
    <row r="124" spans="1:10" ht="21.75" customHeight="1" x14ac:dyDescent="0.25">
      <c r="A124" s="15">
        <f t="shared" si="4"/>
        <v>46064</v>
      </c>
      <c r="B124" t="s">
        <v>10</v>
      </c>
      <c r="C124">
        <v>9.73</v>
      </c>
      <c r="D124" s="2">
        <v>4379397</v>
      </c>
      <c r="E124">
        <v>10.050000000000001</v>
      </c>
      <c r="F124">
        <v>42</v>
      </c>
      <c r="G124" s="2">
        <v>3201129</v>
      </c>
      <c r="H124" s="2">
        <f>T2_Daily_Feed_Req[[#This Row],[Weekly ABW (g)]]*T2_Daily_Feed_Req[[#This Row],[Latest Pop Count]]/1000</f>
        <v>32171.346450000005</v>
      </c>
      <c r="I124">
        <f>VLOOKUP(T2_Daily_Feed_Req[[#This Row],[Weekly ABW (g)]],MAIN!$A$2:$B$10,2,TRUE)</f>
        <v>4.5</v>
      </c>
      <c r="J124" s="2">
        <f>T2_Daily_Feed_Req[[#This Row],[Current Biomass (kg)]]*T2_Daily_Feed_Req[[#This Row],[Calc Feed Rate (%)]]/100</f>
        <v>1447.7105902500002</v>
      </c>
    </row>
    <row r="125" spans="1:10" ht="21.75" customHeight="1" x14ac:dyDescent="0.25">
      <c r="A125" s="15">
        <f t="shared" si="4"/>
        <v>46064</v>
      </c>
      <c r="B125" t="s">
        <v>11</v>
      </c>
      <c r="C125">
        <v>9.6</v>
      </c>
      <c r="D125" s="2">
        <v>4319396</v>
      </c>
      <c r="E125">
        <v>11.3</v>
      </c>
      <c r="F125">
        <v>42</v>
      </c>
      <c r="G125" s="2">
        <v>2135911</v>
      </c>
      <c r="H125" s="2">
        <f>T2_Daily_Feed_Req[[#This Row],[Weekly ABW (g)]]*T2_Daily_Feed_Req[[#This Row],[Latest Pop Count]]/1000</f>
        <v>24135.794300000001</v>
      </c>
      <c r="I125">
        <f>VLOOKUP(T2_Daily_Feed_Req[[#This Row],[Weekly ABW (g)]],MAIN!$A$2:$B$10,2,TRUE)</f>
        <v>4.5</v>
      </c>
      <c r="J125" s="2">
        <f>T2_Daily_Feed_Req[[#This Row],[Current Biomass (kg)]]*T2_Daily_Feed_Req[[#This Row],[Calc Feed Rate (%)]]/100</f>
        <v>1086.1107435000001</v>
      </c>
    </row>
    <row r="126" spans="1:10" ht="21.75" customHeight="1" x14ac:dyDescent="0.25">
      <c r="A126" s="15">
        <f t="shared" si="4"/>
        <v>46064</v>
      </c>
      <c r="B126" t="s">
        <v>12</v>
      </c>
      <c r="C126">
        <v>9.16</v>
      </c>
      <c r="D126" s="2">
        <v>4120208</v>
      </c>
      <c r="E126">
        <v>11.16</v>
      </c>
      <c r="F126">
        <v>42</v>
      </c>
      <c r="G126" s="2">
        <v>3031176</v>
      </c>
      <c r="H126" s="2">
        <f>T2_Daily_Feed_Req[[#This Row],[Weekly ABW (g)]]*T2_Daily_Feed_Req[[#This Row],[Latest Pop Count]]/1000</f>
        <v>33827.924160000002</v>
      </c>
      <c r="I126">
        <f>VLOOKUP(T2_Daily_Feed_Req[[#This Row],[Weekly ABW (g)]],MAIN!$A$2:$B$10,2,TRUE)</f>
        <v>4.5</v>
      </c>
      <c r="J126" s="2">
        <f>T2_Daily_Feed_Req[[#This Row],[Current Biomass (kg)]]*T2_Daily_Feed_Req[[#This Row],[Calc Feed Rate (%)]]/100</f>
        <v>1522.2565872</v>
      </c>
    </row>
    <row r="127" spans="1:10" ht="21.75" customHeight="1" x14ac:dyDescent="0.25">
      <c r="A127" s="15">
        <f t="shared" si="4"/>
        <v>46065</v>
      </c>
      <c r="B127" t="s">
        <v>14</v>
      </c>
      <c r="C127">
        <v>9.16</v>
      </c>
      <c r="D127" s="2">
        <v>4120198</v>
      </c>
      <c r="E127">
        <v>11.95</v>
      </c>
      <c r="F127">
        <v>42</v>
      </c>
      <c r="G127" s="2">
        <v>1948899</v>
      </c>
      <c r="H127" s="2">
        <f>T2_Daily_Feed_Req[[#This Row],[Weekly ABW (g)]]*T2_Daily_Feed_Req[[#This Row],[Latest Pop Count]]/1000</f>
        <v>23289.343049999996</v>
      </c>
      <c r="I127">
        <f>VLOOKUP(T2_Daily_Feed_Req[[#This Row],[Weekly ABW (g)]],MAIN!$A$2:$B$10,2,TRUE)</f>
        <v>4.5</v>
      </c>
      <c r="J127" s="2">
        <f>T2_Daily_Feed_Req[[#This Row],[Current Biomass (kg)]]*T2_Daily_Feed_Req[[#This Row],[Calc Feed Rate (%)]]/100</f>
        <v>1048.0204372499998</v>
      </c>
    </row>
    <row r="128" spans="1:10" ht="21.75" customHeight="1" x14ac:dyDescent="0.25">
      <c r="A128" s="15">
        <f t="shared" si="4"/>
        <v>46065</v>
      </c>
      <c r="B128" t="s">
        <v>15</v>
      </c>
      <c r="C128">
        <v>9.06</v>
      </c>
      <c r="D128" s="2">
        <v>4076138</v>
      </c>
      <c r="E128">
        <v>11.2</v>
      </c>
      <c r="F128">
        <v>42</v>
      </c>
      <c r="G128" s="2">
        <v>1803364</v>
      </c>
      <c r="H128" s="2">
        <f>T2_Daily_Feed_Req[[#This Row],[Weekly ABW (g)]]*T2_Daily_Feed_Req[[#This Row],[Latest Pop Count]]/1000</f>
        <v>20197.676799999997</v>
      </c>
      <c r="I128">
        <f>VLOOKUP(T2_Daily_Feed_Req[[#This Row],[Weekly ABW (g)]],MAIN!$A$2:$B$10,2,TRUE)</f>
        <v>4.5</v>
      </c>
      <c r="J128" s="2">
        <f>T2_Daily_Feed_Req[[#This Row],[Current Biomass (kg)]]*T2_Daily_Feed_Req[[#This Row],[Calc Feed Rate (%)]]/100</f>
        <v>908.89545599999985</v>
      </c>
    </row>
    <row r="129" spans="1:10" ht="21.75" customHeight="1" x14ac:dyDescent="0.25">
      <c r="A129" s="15">
        <f t="shared" si="4"/>
        <v>46065</v>
      </c>
      <c r="B129" t="s">
        <v>16</v>
      </c>
      <c r="C129">
        <v>9.8699999999999992</v>
      </c>
      <c r="D129" s="2">
        <v>4439779</v>
      </c>
      <c r="E129">
        <v>11.23</v>
      </c>
      <c r="F129">
        <v>42</v>
      </c>
      <c r="G129" s="2">
        <v>2233680</v>
      </c>
      <c r="H129" s="2">
        <f>T2_Daily_Feed_Req[[#This Row],[Weekly ABW (g)]]*T2_Daily_Feed_Req[[#This Row],[Latest Pop Count]]/1000</f>
        <v>25084.226400000003</v>
      </c>
      <c r="I129">
        <f>VLOOKUP(T2_Daily_Feed_Req[[#This Row],[Weekly ABW (g)]],MAIN!$A$2:$B$10,2,TRUE)</f>
        <v>4.5</v>
      </c>
      <c r="J129" s="2">
        <f>T2_Daily_Feed_Req[[#This Row],[Current Biomass (kg)]]*T2_Daily_Feed_Req[[#This Row],[Calc Feed Rate (%)]]/100</f>
        <v>1128.7901880000002</v>
      </c>
    </row>
    <row r="130" spans="1:10" ht="21.75" customHeight="1" x14ac:dyDescent="0.25">
      <c r="A130" s="15">
        <f t="shared" si="4"/>
        <v>46065</v>
      </c>
      <c r="B130" t="s">
        <v>17</v>
      </c>
      <c r="C130">
        <v>9.6</v>
      </c>
      <c r="D130" s="2">
        <v>4320502</v>
      </c>
      <c r="E130">
        <v>11.32</v>
      </c>
      <c r="F130">
        <v>42</v>
      </c>
      <c r="G130" s="2">
        <v>3146667</v>
      </c>
      <c r="H130" s="2">
        <f>T2_Daily_Feed_Req[[#This Row],[Weekly ABW (g)]]*T2_Daily_Feed_Req[[#This Row],[Latest Pop Count]]/1000</f>
        <v>35620.27044</v>
      </c>
      <c r="I130">
        <f>VLOOKUP(T2_Daily_Feed_Req[[#This Row],[Weekly ABW (g)]],MAIN!$A$2:$B$10,2,TRUE)</f>
        <v>4.5</v>
      </c>
      <c r="J130" s="2">
        <f>T2_Daily_Feed_Req[[#This Row],[Current Biomass (kg)]]*T2_Daily_Feed_Req[[#This Row],[Calc Feed Rate (%)]]/100</f>
        <v>1602.9121697999999</v>
      </c>
    </row>
    <row r="131" spans="1:10" ht="21.75" customHeight="1" x14ac:dyDescent="0.25">
      <c r="A131" s="15">
        <f t="shared" si="4"/>
        <v>46065</v>
      </c>
      <c r="B131" t="s">
        <v>18</v>
      </c>
      <c r="C131">
        <v>9.7100000000000009</v>
      </c>
      <c r="D131" s="2">
        <v>4368633</v>
      </c>
      <c r="E131">
        <v>10.52</v>
      </c>
      <c r="F131">
        <v>42</v>
      </c>
      <c r="G131" s="2">
        <v>3188606</v>
      </c>
      <c r="H131" s="2">
        <f>T2_Daily_Feed_Req[[#This Row],[Weekly ABW (g)]]*T2_Daily_Feed_Req[[#This Row],[Latest Pop Count]]/1000</f>
        <v>33544.135119999999</v>
      </c>
      <c r="I131">
        <f>VLOOKUP(T2_Daily_Feed_Req[[#This Row],[Weekly ABW (g)]],MAIN!$A$2:$B$10,2,TRUE)</f>
        <v>4.5</v>
      </c>
      <c r="J131" s="2">
        <f>T2_Daily_Feed_Req[[#This Row],[Current Biomass (kg)]]*T2_Daily_Feed_Req[[#This Row],[Calc Feed Rate (%)]]/100</f>
        <v>1509.4860804</v>
      </c>
    </row>
    <row r="132" spans="1:10" ht="21.75" customHeight="1" x14ac:dyDescent="0.25">
      <c r="A132" s="15">
        <f t="shared" si="4"/>
        <v>46066</v>
      </c>
      <c r="B132" t="s">
        <v>20</v>
      </c>
      <c r="C132">
        <v>9.02</v>
      </c>
      <c r="D132" s="2">
        <v>4059263</v>
      </c>
      <c r="E132">
        <v>12.15</v>
      </c>
      <c r="F132">
        <v>42</v>
      </c>
      <c r="G132" s="2">
        <v>2023185</v>
      </c>
      <c r="H132" s="2">
        <f>T2_Daily_Feed_Req[[#This Row],[Weekly ABW (g)]]*T2_Daily_Feed_Req[[#This Row],[Latest Pop Count]]/1000</f>
        <v>24581.697749999999</v>
      </c>
      <c r="I132">
        <f>VLOOKUP(T2_Daily_Feed_Req[[#This Row],[Weekly ABW (g)]],MAIN!$A$2:$B$10,2,TRUE)</f>
        <v>4.5</v>
      </c>
      <c r="J132" s="2">
        <f>T2_Daily_Feed_Req[[#This Row],[Current Biomass (kg)]]*T2_Daily_Feed_Req[[#This Row],[Calc Feed Rate (%)]]/100</f>
        <v>1106.1763987499999</v>
      </c>
    </row>
    <row r="133" spans="1:10" ht="21.75" customHeight="1" x14ac:dyDescent="0.25">
      <c r="A133" s="15">
        <f t="shared" si="4"/>
        <v>46066</v>
      </c>
      <c r="B133" t="s">
        <v>21</v>
      </c>
      <c r="C133">
        <v>9.9700000000000006</v>
      </c>
      <c r="D133" s="2">
        <v>4486459</v>
      </c>
      <c r="E133">
        <v>10.46</v>
      </c>
      <c r="F133">
        <v>42</v>
      </c>
      <c r="G133" s="2">
        <v>3293415</v>
      </c>
      <c r="H133" s="2">
        <f>T2_Daily_Feed_Req[[#This Row],[Weekly ABW (g)]]*T2_Daily_Feed_Req[[#This Row],[Latest Pop Count]]/1000</f>
        <v>34449.120900000009</v>
      </c>
      <c r="I133">
        <f>VLOOKUP(T2_Daily_Feed_Req[[#This Row],[Weekly ABW (g)]],MAIN!$A$2:$B$10,2,TRUE)</f>
        <v>4.5</v>
      </c>
      <c r="J133" s="2">
        <f>T2_Daily_Feed_Req[[#This Row],[Current Biomass (kg)]]*T2_Daily_Feed_Req[[#This Row],[Calc Feed Rate (%)]]/100</f>
        <v>1550.2104405000002</v>
      </c>
    </row>
    <row r="134" spans="1:10" ht="21.75" customHeight="1" x14ac:dyDescent="0.25">
      <c r="A134" s="15">
        <f t="shared" si="4"/>
        <v>46066</v>
      </c>
      <c r="B134" t="s">
        <v>22</v>
      </c>
      <c r="C134">
        <v>9.83</v>
      </c>
      <c r="D134" s="2">
        <v>4424599</v>
      </c>
      <c r="E134">
        <v>12.13</v>
      </c>
      <c r="F134">
        <v>42</v>
      </c>
      <c r="G134" s="2">
        <v>3267492</v>
      </c>
      <c r="H134" s="2">
        <f>T2_Daily_Feed_Req[[#This Row],[Weekly ABW (g)]]*T2_Daily_Feed_Req[[#This Row],[Latest Pop Count]]/1000</f>
        <v>39634.677960000001</v>
      </c>
      <c r="I134">
        <f>VLOOKUP(T2_Daily_Feed_Req[[#This Row],[Weekly ABW (g)]],MAIN!$A$2:$B$10,2,TRUE)</f>
        <v>4.5</v>
      </c>
      <c r="J134" s="2">
        <f>T2_Daily_Feed_Req[[#This Row],[Current Biomass (kg)]]*T2_Daily_Feed_Req[[#This Row],[Calc Feed Rate (%)]]/100</f>
        <v>1783.5605082</v>
      </c>
    </row>
    <row r="135" spans="1:10" ht="21.75" customHeight="1" x14ac:dyDescent="0.25">
      <c r="A135" s="15">
        <f t="shared" si="4"/>
        <v>46066</v>
      </c>
      <c r="B135" t="s">
        <v>23</v>
      </c>
      <c r="C135">
        <v>9.2100000000000009</v>
      </c>
      <c r="D135" s="2">
        <v>4145553</v>
      </c>
      <c r="E135">
        <v>12.55</v>
      </c>
      <c r="F135">
        <v>42</v>
      </c>
      <c r="G135" s="2">
        <v>1681494</v>
      </c>
      <c r="H135" s="2">
        <f>T2_Daily_Feed_Req[[#This Row],[Weekly ABW (g)]]*T2_Daily_Feed_Req[[#This Row],[Latest Pop Count]]/1000</f>
        <v>21102.749700000004</v>
      </c>
      <c r="I135">
        <f>VLOOKUP(T2_Daily_Feed_Req[[#This Row],[Weekly ABW (g)]],MAIN!$A$2:$B$10,2,TRUE)</f>
        <v>4.5</v>
      </c>
      <c r="J135" s="2">
        <f>T2_Daily_Feed_Req[[#This Row],[Current Biomass (kg)]]*T2_Daily_Feed_Req[[#This Row],[Calc Feed Rate (%)]]/100</f>
        <v>949.62373650000018</v>
      </c>
    </row>
    <row r="136" spans="1:10" ht="21.75" customHeight="1" x14ac:dyDescent="0.25">
      <c r="A136" s="15">
        <f t="shared" si="4"/>
        <v>46066</v>
      </c>
      <c r="B136" t="s">
        <v>24</v>
      </c>
      <c r="C136">
        <v>9.18</v>
      </c>
      <c r="D136" s="2">
        <v>4131821</v>
      </c>
      <c r="E136">
        <v>11.97</v>
      </c>
      <c r="F136">
        <v>42</v>
      </c>
      <c r="G136" s="2">
        <v>3029578</v>
      </c>
      <c r="H136" s="2">
        <f>T2_Daily_Feed_Req[[#This Row],[Weekly ABW (g)]]*T2_Daily_Feed_Req[[#This Row],[Latest Pop Count]]/1000</f>
        <v>36264.04866</v>
      </c>
      <c r="I136">
        <f>VLOOKUP(T2_Daily_Feed_Req[[#This Row],[Weekly ABW (g)]],MAIN!$A$2:$B$10,2,TRUE)</f>
        <v>4.5</v>
      </c>
      <c r="J136" s="2">
        <f>T2_Daily_Feed_Req[[#This Row],[Current Biomass (kg)]]*T2_Daily_Feed_Req[[#This Row],[Calc Feed Rate (%)]]/100</f>
        <v>1631.8821896999998</v>
      </c>
    </row>
    <row r="137" spans="1:10" ht="21.75" customHeight="1" x14ac:dyDescent="0.25">
      <c r="A137" s="15">
        <f t="shared" si="4"/>
        <v>46067</v>
      </c>
      <c r="B137" t="s">
        <v>26</v>
      </c>
      <c r="C137">
        <v>9.18</v>
      </c>
      <c r="D137" s="2">
        <v>4132532</v>
      </c>
      <c r="E137">
        <v>13.09</v>
      </c>
      <c r="F137">
        <v>42</v>
      </c>
      <c r="G137" s="2">
        <v>3035310</v>
      </c>
      <c r="H137" s="2">
        <f>T2_Daily_Feed_Req[[#This Row],[Weekly ABW (g)]]*T2_Daily_Feed_Req[[#This Row],[Latest Pop Count]]/1000</f>
        <v>39732.207900000001</v>
      </c>
      <c r="I137">
        <f>VLOOKUP(T2_Daily_Feed_Req[[#This Row],[Weekly ABW (g)]],MAIN!$A$2:$B$10,2,TRUE)</f>
        <v>4.5</v>
      </c>
      <c r="J137" s="2">
        <f>T2_Daily_Feed_Req[[#This Row],[Current Biomass (kg)]]*T2_Daily_Feed_Req[[#This Row],[Calc Feed Rate (%)]]/100</f>
        <v>1787.9493554999999</v>
      </c>
    </row>
    <row r="138" spans="1:10" ht="21.75" customHeight="1" x14ac:dyDescent="0.25">
      <c r="A138" s="15">
        <f t="shared" si="4"/>
        <v>46067</v>
      </c>
      <c r="B138" t="s">
        <v>27</v>
      </c>
      <c r="C138">
        <v>9.3000000000000007</v>
      </c>
      <c r="D138" s="2">
        <v>4186909</v>
      </c>
      <c r="E138">
        <v>11</v>
      </c>
      <c r="F138">
        <v>42</v>
      </c>
      <c r="G138" s="2">
        <v>3050933</v>
      </c>
      <c r="H138" s="2">
        <f>T2_Daily_Feed_Req[[#This Row],[Weekly ABW (g)]]*T2_Daily_Feed_Req[[#This Row],[Latest Pop Count]]/1000</f>
        <v>33560.262999999999</v>
      </c>
      <c r="I138">
        <f>VLOOKUP(T2_Daily_Feed_Req[[#This Row],[Weekly ABW (g)]],MAIN!$A$2:$B$10,2,TRUE)</f>
        <v>4.5</v>
      </c>
      <c r="J138" s="2">
        <f>T2_Daily_Feed_Req[[#This Row],[Current Biomass (kg)]]*T2_Daily_Feed_Req[[#This Row],[Calc Feed Rate (%)]]/100</f>
        <v>1510.2118349999998</v>
      </c>
    </row>
    <row r="139" spans="1:10" ht="21.75" customHeight="1" x14ac:dyDescent="0.25">
      <c r="A139" s="15">
        <f t="shared" si="4"/>
        <v>46067</v>
      </c>
      <c r="B139" t="s">
        <v>28</v>
      </c>
      <c r="C139">
        <v>9.52</v>
      </c>
      <c r="D139" s="2">
        <v>4286140</v>
      </c>
      <c r="E139">
        <v>9.6300000000000008</v>
      </c>
      <c r="F139">
        <v>42</v>
      </c>
      <c r="G139" s="2">
        <v>3151379</v>
      </c>
      <c r="H139" s="2">
        <f>T2_Daily_Feed_Req[[#This Row],[Weekly ABW (g)]]*T2_Daily_Feed_Req[[#This Row],[Latest Pop Count]]/1000</f>
        <v>30347.779770000005</v>
      </c>
      <c r="I139">
        <f>VLOOKUP(T2_Daily_Feed_Req[[#This Row],[Weekly ABW (g)]],MAIN!$A$2:$B$10,2,TRUE)</f>
        <v>5.5</v>
      </c>
      <c r="J139" s="2">
        <f>T2_Daily_Feed_Req[[#This Row],[Current Biomass (kg)]]*T2_Daily_Feed_Req[[#This Row],[Calc Feed Rate (%)]]/100</f>
        <v>1669.1278873500005</v>
      </c>
    </row>
    <row r="140" spans="1:10" ht="21.75" customHeight="1" x14ac:dyDescent="0.25">
      <c r="A140" s="15">
        <f t="shared" si="4"/>
        <v>46067</v>
      </c>
      <c r="B140" t="s">
        <v>29</v>
      </c>
      <c r="C140">
        <v>9.43</v>
      </c>
      <c r="D140" s="2">
        <v>4244375</v>
      </c>
      <c r="E140">
        <v>13.04</v>
      </c>
      <c r="F140">
        <v>42</v>
      </c>
      <c r="G140" s="2">
        <v>2170300</v>
      </c>
      <c r="H140" s="2">
        <f>T2_Daily_Feed_Req[[#This Row],[Weekly ABW (g)]]*T2_Daily_Feed_Req[[#This Row],[Latest Pop Count]]/1000</f>
        <v>28300.712</v>
      </c>
      <c r="I140">
        <f>VLOOKUP(T2_Daily_Feed_Req[[#This Row],[Weekly ABW (g)]],MAIN!$A$2:$B$10,2,TRUE)</f>
        <v>4.5</v>
      </c>
      <c r="J140" s="2">
        <f>T2_Daily_Feed_Req[[#This Row],[Current Biomass (kg)]]*T2_Daily_Feed_Req[[#This Row],[Calc Feed Rate (%)]]/100</f>
        <v>1273.5320400000001</v>
      </c>
    </row>
    <row r="141" spans="1:10" ht="21.75" customHeight="1" x14ac:dyDescent="0.25">
      <c r="A141" s="15">
        <f t="shared" si="4"/>
        <v>46067</v>
      </c>
      <c r="B141" t="s">
        <v>30</v>
      </c>
      <c r="C141">
        <v>9.2899999999999991</v>
      </c>
      <c r="D141" s="2">
        <v>4181053</v>
      </c>
      <c r="E141">
        <v>10.54</v>
      </c>
      <c r="F141">
        <v>42</v>
      </c>
      <c r="G141" s="2">
        <v>3059054</v>
      </c>
      <c r="H141" s="2">
        <f>T2_Daily_Feed_Req[[#This Row],[Weekly ABW (g)]]*T2_Daily_Feed_Req[[#This Row],[Latest Pop Count]]/1000</f>
        <v>32242.429159999996</v>
      </c>
      <c r="I141">
        <f>VLOOKUP(T2_Daily_Feed_Req[[#This Row],[Weekly ABW (g)]],MAIN!$A$2:$B$10,2,TRUE)</f>
        <v>4.5</v>
      </c>
      <c r="J141" s="2">
        <f>T2_Daily_Feed_Req[[#This Row],[Current Biomass (kg)]]*T2_Daily_Feed_Req[[#This Row],[Calc Feed Rate (%)]]/100</f>
        <v>1450.9093121999997</v>
      </c>
    </row>
    <row r="142" spans="1:10" ht="21.75" customHeight="1" x14ac:dyDescent="0.25">
      <c r="A142" s="16">
        <f>A122+7</f>
        <v>46071</v>
      </c>
      <c r="B142" t="s">
        <v>8</v>
      </c>
      <c r="C142">
        <v>9.3699999999999992</v>
      </c>
      <c r="D142" s="2">
        <v>4218543</v>
      </c>
      <c r="E142">
        <v>12.62</v>
      </c>
      <c r="F142">
        <v>49</v>
      </c>
      <c r="G142" s="2">
        <v>3070979</v>
      </c>
      <c r="H142" s="2">
        <f>T2_Daily_Feed_Req[[#This Row],[Weekly ABW (g)]]*T2_Daily_Feed_Req[[#This Row],[Latest Pop Count]]/1000</f>
        <v>38755.754979999998</v>
      </c>
      <c r="I142">
        <f>VLOOKUP(T2_Daily_Feed_Req[[#This Row],[Weekly ABW (g)]],MAIN!$A$2:$B$10,2,TRUE)</f>
        <v>4.5</v>
      </c>
      <c r="J142" s="2">
        <f>T2_Daily_Feed_Req[[#This Row],[Current Biomass (kg)]]*T2_Daily_Feed_Req[[#This Row],[Calc Feed Rate (%)]]/100</f>
        <v>1744.0089740999997</v>
      </c>
    </row>
    <row r="143" spans="1:10" ht="21.75" customHeight="1" x14ac:dyDescent="0.25">
      <c r="A143" s="16">
        <f t="shared" ref="A143:A161" si="5">A123+7</f>
        <v>46071</v>
      </c>
      <c r="B143" t="s">
        <v>9</v>
      </c>
      <c r="C143">
        <v>9.9499999999999993</v>
      </c>
      <c r="D143" s="2">
        <v>4477821</v>
      </c>
      <c r="E143">
        <v>12.92</v>
      </c>
      <c r="F143">
        <v>49</v>
      </c>
      <c r="G143" s="2">
        <v>3288247</v>
      </c>
      <c r="H143" s="2">
        <f>T2_Daily_Feed_Req[[#This Row],[Weekly ABW (g)]]*T2_Daily_Feed_Req[[#This Row],[Latest Pop Count]]/1000</f>
        <v>42484.151239999999</v>
      </c>
      <c r="I143">
        <f>VLOOKUP(T2_Daily_Feed_Req[[#This Row],[Weekly ABW (g)]],MAIN!$A$2:$B$10,2,TRUE)</f>
        <v>4.5</v>
      </c>
      <c r="J143" s="2">
        <f>T2_Daily_Feed_Req[[#This Row],[Current Biomass (kg)]]*T2_Daily_Feed_Req[[#This Row],[Calc Feed Rate (%)]]/100</f>
        <v>1911.7868057999999</v>
      </c>
    </row>
    <row r="144" spans="1:10" ht="21.75" customHeight="1" x14ac:dyDescent="0.25">
      <c r="A144" s="16">
        <f t="shared" si="5"/>
        <v>46071</v>
      </c>
      <c r="B144" t="s">
        <v>10</v>
      </c>
      <c r="C144">
        <v>9.73</v>
      </c>
      <c r="D144" s="2">
        <v>4379397</v>
      </c>
      <c r="E144">
        <v>11.5</v>
      </c>
      <c r="F144">
        <v>49</v>
      </c>
      <c r="G144" s="2">
        <v>3197070</v>
      </c>
      <c r="H144" s="2">
        <f>T2_Daily_Feed_Req[[#This Row],[Weekly ABW (g)]]*T2_Daily_Feed_Req[[#This Row],[Latest Pop Count]]/1000</f>
        <v>36766.305</v>
      </c>
      <c r="I144">
        <f>VLOOKUP(T2_Daily_Feed_Req[[#This Row],[Weekly ABW (g)]],MAIN!$A$2:$B$10,2,TRUE)</f>
        <v>4.5</v>
      </c>
      <c r="J144" s="2">
        <f>T2_Daily_Feed_Req[[#This Row],[Current Biomass (kg)]]*T2_Daily_Feed_Req[[#This Row],[Calc Feed Rate (%)]]/100</f>
        <v>1654.483725</v>
      </c>
    </row>
    <row r="145" spans="1:10" ht="21.75" customHeight="1" x14ac:dyDescent="0.25">
      <c r="A145" s="16">
        <f t="shared" si="5"/>
        <v>46071</v>
      </c>
      <c r="B145" t="s">
        <v>11</v>
      </c>
      <c r="C145">
        <v>9.6</v>
      </c>
      <c r="D145" s="2">
        <v>4319396</v>
      </c>
      <c r="E145">
        <v>13.04</v>
      </c>
      <c r="F145">
        <v>49</v>
      </c>
      <c r="G145" s="2">
        <v>2078634</v>
      </c>
      <c r="H145" s="2">
        <f>T2_Daily_Feed_Req[[#This Row],[Weekly ABW (g)]]*T2_Daily_Feed_Req[[#This Row],[Latest Pop Count]]/1000</f>
        <v>27105.387360000001</v>
      </c>
      <c r="I145">
        <f>VLOOKUP(T2_Daily_Feed_Req[[#This Row],[Weekly ABW (g)]],MAIN!$A$2:$B$10,2,TRUE)</f>
        <v>4.5</v>
      </c>
      <c r="J145" s="2">
        <f>T2_Daily_Feed_Req[[#This Row],[Current Biomass (kg)]]*T2_Daily_Feed_Req[[#This Row],[Calc Feed Rate (%)]]/100</f>
        <v>1219.7424312000001</v>
      </c>
    </row>
    <row r="146" spans="1:10" ht="21.75" customHeight="1" x14ac:dyDescent="0.25">
      <c r="A146" s="16">
        <f t="shared" si="5"/>
        <v>46071</v>
      </c>
      <c r="B146" t="s">
        <v>12</v>
      </c>
      <c r="C146">
        <v>9.16</v>
      </c>
      <c r="D146" s="2">
        <v>4120208</v>
      </c>
      <c r="E146">
        <v>12.45</v>
      </c>
      <c r="F146">
        <v>49</v>
      </c>
      <c r="G146" s="2">
        <v>3026647</v>
      </c>
      <c r="H146" s="2">
        <f>T2_Daily_Feed_Req[[#This Row],[Weekly ABW (g)]]*T2_Daily_Feed_Req[[#This Row],[Latest Pop Count]]/1000</f>
        <v>37681.755149999997</v>
      </c>
      <c r="I146">
        <f>VLOOKUP(T2_Daily_Feed_Req[[#This Row],[Weekly ABW (g)]],MAIN!$A$2:$B$10,2,TRUE)</f>
        <v>4.5</v>
      </c>
      <c r="J146" s="2">
        <f>T2_Daily_Feed_Req[[#This Row],[Current Biomass (kg)]]*T2_Daily_Feed_Req[[#This Row],[Calc Feed Rate (%)]]/100</f>
        <v>1695.6789817499998</v>
      </c>
    </row>
    <row r="147" spans="1:10" ht="21.75" customHeight="1" x14ac:dyDescent="0.25">
      <c r="A147" s="16">
        <f t="shared" si="5"/>
        <v>46072</v>
      </c>
      <c r="B147" t="s">
        <v>14</v>
      </c>
      <c r="C147">
        <v>9.16</v>
      </c>
      <c r="D147" s="2">
        <v>4120198</v>
      </c>
      <c r="E147">
        <v>13.75</v>
      </c>
      <c r="F147">
        <v>49</v>
      </c>
      <c r="G147" s="2">
        <v>1932379</v>
      </c>
      <c r="H147" s="2">
        <f>T2_Daily_Feed_Req[[#This Row],[Weekly ABW (g)]]*T2_Daily_Feed_Req[[#This Row],[Latest Pop Count]]/1000</f>
        <v>26570.21125</v>
      </c>
      <c r="I147">
        <f>VLOOKUP(T2_Daily_Feed_Req[[#This Row],[Weekly ABW (g)]],MAIN!$A$2:$B$10,2,TRUE)</f>
        <v>4.5</v>
      </c>
      <c r="J147" s="2">
        <f>T2_Daily_Feed_Req[[#This Row],[Current Biomass (kg)]]*T2_Daily_Feed_Req[[#This Row],[Calc Feed Rate (%)]]/100</f>
        <v>1195.65950625</v>
      </c>
    </row>
    <row r="148" spans="1:10" ht="21.75" customHeight="1" x14ac:dyDescent="0.25">
      <c r="A148" s="16">
        <f t="shared" si="5"/>
        <v>46072</v>
      </c>
      <c r="B148" t="s">
        <v>15</v>
      </c>
      <c r="C148">
        <v>9.06</v>
      </c>
      <c r="D148" s="2">
        <v>4076138</v>
      </c>
      <c r="E148">
        <v>12.55</v>
      </c>
      <c r="F148">
        <v>49</v>
      </c>
      <c r="G148" s="2">
        <v>1759038</v>
      </c>
      <c r="H148" s="2">
        <f>T2_Daily_Feed_Req[[#This Row],[Weekly ABW (g)]]*T2_Daily_Feed_Req[[#This Row],[Latest Pop Count]]/1000</f>
        <v>22075.926900000002</v>
      </c>
      <c r="I148">
        <f>VLOOKUP(T2_Daily_Feed_Req[[#This Row],[Weekly ABW (g)]],MAIN!$A$2:$B$10,2,TRUE)</f>
        <v>4.5</v>
      </c>
      <c r="J148" s="2">
        <f>T2_Daily_Feed_Req[[#This Row],[Current Biomass (kg)]]*T2_Daily_Feed_Req[[#This Row],[Calc Feed Rate (%)]]/100</f>
        <v>993.41671050000002</v>
      </c>
    </row>
    <row r="149" spans="1:10" ht="21.75" customHeight="1" x14ac:dyDescent="0.25">
      <c r="A149" s="16">
        <f t="shared" si="5"/>
        <v>46072</v>
      </c>
      <c r="B149" t="s">
        <v>16</v>
      </c>
      <c r="C149">
        <v>9.8699999999999992</v>
      </c>
      <c r="D149" s="2">
        <v>4439779</v>
      </c>
      <c r="E149">
        <v>12.24</v>
      </c>
      <c r="F149">
        <v>49</v>
      </c>
      <c r="G149" s="2">
        <v>2205780</v>
      </c>
      <c r="H149" s="2">
        <f>T2_Daily_Feed_Req[[#This Row],[Weekly ABW (g)]]*T2_Daily_Feed_Req[[#This Row],[Latest Pop Count]]/1000</f>
        <v>26998.747199999998</v>
      </c>
      <c r="I149">
        <f>VLOOKUP(T2_Daily_Feed_Req[[#This Row],[Weekly ABW (g)]],MAIN!$A$2:$B$10,2,TRUE)</f>
        <v>4.5</v>
      </c>
      <c r="J149" s="2">
        <f>T2_Daily_Feed_Req[[#This Row],[Current Biomass (kg)]]*T2_Daily_Feed_Req[[#This Row],[Calc Feed Rate (%)]]/100</f>
        <v>1214.9436239999998</v>
      </c>
    </row>
    <row r="150" spans="1:10" ht="21.75" customHeight="1" x14ac:dyDescent="0.25">
      <c r="A150" s="16">
        <f t="shared" si="5"/>
        <v>46072</v>
      </c>
      <c r="B150" t="s">
        <v>17</v>
      </c>
      <c r="C150">
        <v>9.6</v>
      </c>
      <c r="D150" s="2">
        <v>4320502</v>
      </c>
      <c r="E150">
        <v>13.13</v>
      </c>
      <c r="F150">
        <v>49</v>
      </c>
      <c r="G150" s="2">
        <v>3137468</v>
      </c>
      <c r="H150" s="2">
        <f>T2_Daily_Feed_Req[[#This Row],[Weekly ABW (g)]]*T2_Daily_Feed_Req[[#This Row],[Latest Pop Count]]/1000</f>
        <v>41194.954840000006</v>
      </c>
      <c r="I150">
        <f>VLOOKUP(T2_Daily_Feed_Req[[#This Row],[Weekly ABW (g)]],MAIN!$A$2:$B$10,2,TRUE)</f>
        <v>4.5</v>
      </c>
      <c r="J150" s="2">
        <f>T2_Daily_Feed_Req[[#This Row],[Current Biomass (kg)]]*T2_Daily_Feed_Req[[#This Row],[Calc Feed Rate (%)]]/100</f>
        <v>1853.7729678000003</v>
      </c>
    </row>
    <row r="151" spans="1:10" ht="21.75" customHeight="1" x14ac:dyDescent="0.25">
      <c r="A151" s="16">
        <f t="shared" si="5"/>
        <v>46072</v>
      </c>
      <c r="B151" t="s">
        <v>18</v>
      </c>
      <c r="C151">
        <v>9.7100000000000009</v>
      </c>
      <c r="D151" s="2">
        <v>4368633</v>
      </c>
      <c r="E151">
        <v>11.61</v>
      </c>
      <c r="F151">
        <v>49</v>
      </c>
      <c r="G151" s="2">
        <v>3184841</v>
      </c>
      <c r="H151" s="2">
        <f>T2_Daily_Feed_Req[[#This Row],[Weekly ABW (g)]]*T2_Daily_Feed_Req[[#This Row],[Latest Pop Count]]/1000</f>
        <v>36976.004009999997</v>
      </c>
      <c r="I151">
        <f>VLOOKUP(T2_Daily_Feed_Req[[#This Row],[Weekly ABW (g)]],MAIN!$A$2:$B$10,2,TRUE)</f>
        <v>4.5</v>
      </c>
      <c r="J151" s="2">
        <f>T2_Daily_Feed_Req[[#This Row],[Current Biomass (kg)]]*T2_Daily_Feed_Req[[#This Row],[Calc Feed Rate (%)]]/100</f>
        <v>1663.9201804499999</v>
      </c>
    </row>
    <row r="152" spans="1:10" ht="21.75" customHeight="1" x14ac:dyDescent="0.25">
      <c r="A152" s="16">
        <f t="shared" si="5"/>
        <v>46073</v>
      </c>
      <c r="B152" t="s">
        <v>20</v>
      </c>
      <c r="C152">
        <v>9.02</v>
      </c>
      <c r="D152" s="2">
        <v>4059263</v>
      </c>
      <c r="E152">
        <v>13.44</v>
      </c>
      <c r="F152">
        <v>49</v>
      </c>
      <c r="G152" s="2">
        <v>2000535</v>
      </c>
      <c r="H152" s="2">
        <f>T2_Daily_Feed_Req[[#This Row],[Weekly ABW (g)]]*T2_Daily_Feed_Req[[#This Row],[Latest Pop Count]]/1000</f>
        <v>26887.190399999999</v>
      </c>
      <c r="I152">
        <f>VLOOKUP(T2_Daily_Feed_Req[[#This Row],[Weekly ABW (g)]],MAIN!$A$2:$B$10,2,TRUE)</f>
        <v>4.5</v>
      </c>
      <c r="J152" s="2">
        <f>T2_Daily_Feed_Req[[#This Row],[Current Biomass (kg)]]*T2_Daily_Feed_Req[[#This Row],[Calc Feed Rate (%)]]/100</f>
        <v>1209.9235679999999</v>
      </c>
    </row>
    <row r="153" spans="1:10" ht="21.75" customHeight="1" x14ac:dyDescent="0.25">
      <c r="A153" s="16">
        <f t="shared" si="5"/>
        <v>46073</v>
      </c>
      <c r="B153" t="s">
        <v>21</v>
      </c>
      <c r="C153">
        <v>9.9700000000000006</v>
      </c>
      <c r="D153" s="2">
        <v>4486459</v>
      </c>
      <c r="E153">
        <v>12.31</v>
      </c>
      <c r="F153">
        <v>49</v>
      </c>
      <c r="G153" s="2">
        <v>3283040</v>
      </c>
      <c r="H153" s="2">
        <f>T2_Daily_Feed_Req[[#This Row],[Weekly ABW (g)]]*T2_Daily_Feed_Req[[#This Row],[Latest Pop Count]]/1000</f>
        <v>40414.222399999999</v>
      </c>
      <c r="I153">
        <f>VLOOKUP(T2_Daily_Feed_Req[[#This Row],[Weekly ABW (g)]],MAIN!$A$2:$B$10,2,TRUE)</f>
        <v>4.5</v>
      </c>
      <c r="J153" s="2">
        <f>T2_Daily_Feed_Req[[#This Row],[Current Biomass (kg)]]*T2_Daily_Feed_Req[[#This Row],[Calc Feed Rate (%)]]/100</f>
        <v>1818.6400079999999</v>
      </c>
    </row>
    <row r="154" spans="1:10" ht="21.75" customHeight="1" x14ac:dyDescent="0.25">
      <c r="A154" s="16">
        <f t="shared" si="5"/>
        <v>46073</v>
      </c>
      <c r="B154" t="s">
        <v>22</v>
      </c>
      <c r="C154">
        <v>9.83</v>
      </c>
      <c r="D154" s="2">
        <v>4424599</v>
      </c>
      <c r="E154">
        <v>13.98</v>
      </c>
      <c r="F154">
        <v>49</v>
      </c>
      <c r="G154" s="2">
        <v>3259911</v>
      </c>
      <c r="H154" s="2">
        <f>T2_Daily_Feed_Req[[#This Row],[Weekly ABW (g)]]*T2_Daily_Feed_Req[[#This Row],[Latest Pop Count]]/1000</f>
        <v>45573.555780000002</v>
      </c>
      <c r="I154">
        <f>VLOOKUP(T2_Daily_Feed_Req[[#This Row],[Weekly ABW (g)]],MAIN!$A$2:$B$10,2,TRUE)</f>
        <v>4.5</v>
      </c>
      <c r="J154" s="2">
        <f>T2_Daily_Feed_Req[[#This Row],[Current Biomass (kg)]]*T2_Daily_Feed_Req[[#This Row],[Calc Feed Rate (%)]]/100</f>
        <v>2050.8100101</v>
      </c>
    </row>
    <row r="155" spans="1:10" ht="21.75" customHeight="1" x14ac:dyDescent="0.25">
      <c r="A155" s="16">
        <f t="shared" si="5"/>
        <v>46073</v>
      </c>
      <c r="B155" t="s">
        <v>23</v>
      </c>
      <c r="C155">
        <v>9.2100000000000009</v>
      </c>
      <c r="D155" s="2">
        <v>4145553</v>
      </c>
      <c r="E155">
        <v>14.06</v>
      </c>
      <c r="F155">
        <v>49</v>
      </c>
      <c r="G155" s="2">
        <v>1653333</v>
      </c>
      <c r="H155" s="2">
        <f>T2_Daily_Feed_Req[[#This Row],[Weekly ABW (g)]]*T2_Daily_Feed_Req[[#This Row],[Latest Pop Count]]/1000</f>
        <v>23245.861980000001</v>
      </c>
      <c r="I155">
        <f>VLOOKUP(T2_Daily_Feed_Req[[#This Row],[Weekly ABW (g)]],MAIN!$A$2:$B$10,2,TRUE)</f>
        <v>4.5</v>
      </c>
      <c r="J155" s="2">
        <f>T2_Daily_Feed_Req[[#This Row],[Current Biomass (kg)]]*T2_Daily_Feed_Req[[#This Row],[Calc Feed Rate (%)]]/100</f>
        <v>1046.0637890999999</v>
      </c>
    </row>
    <row r="156" spans="1:10" ht="21.75" customHeight="1" x14ac:dyDescent="0.25">
      <c r="A156" s="16">
        <f t="shared" si="5"/>
        <v>46073</v>
      </c>
      <c r="B156" t="s">
        <v>24</v>
      </c>
      <c r="C156">
        <v>9.18</v>
      </c>
      <c r="D156" s="2">
        <v>4131821</v>
      </c>
      <c r="E156">
        <v>13.54</v>
      </c>
      <c r="F156">
        <v>49</v>
      </c>
      <c r="G156" s="2">
        <v>3022149</v>
      </c>
      <c r="H156" s="2">
        <f>T2_Daily_Feed_Req[[#This Row],[Weekly ABW (g)]]*T2_Daily_Feed_Req[[#This Row],[Latest Pop Count]]/1000</f>
        <v>40919.89746</v>
      </c>
      <c r="I156">
        <f>VLOOKUP(T2_Daily_Feed_Req[[#This Row],[Weekly ABW (g)]],MAIN!$A$2:$B$10,2,TRUE)</f>
        <v>4.5</v>
      </c>
      <c r="J156" s="2">
        <f>T2_Daily_Feed_Req[[#This Row],[Current Biomass (kg)]]*T2_Daily_Feed_Req[[#This Row],[Calc Feed Rate (%)]]/100</f>
        <v>1841.3953857000001</v>
      </c>
    </row>
    <row r="157" spans="1:10" ht="21.75" customHeight="1" x14ac:dyDescent="0.25">
      <c r="A157" s="16">
        <f t="shared" si="5"/>
        <v>46074</v>
      </c>
      <c r="B157" t="s">
        <v>26</v>
      </c>
      <c r="C157">
        <v>9.18</v>
      </c>
      <c r="D157" s="2">
        <v>4132532</v>
      </c>
      <c r="E157">
        <v>14.49</v>
      </c>
      <c r="F157">
        <v>49</v>
      </c>
      <c r="G157" s="2">
        <v>3030212</v>
      </c>
      <c r="H157" s="2">
        <f>T2_Daily_Feed_Req[[#This Row],[Weekly ABW (g)]]*T2_Daily_Feed_Req[[#This Row],[Latest Pop Count]]/1000</f>
        <v>43907.77188</v>
      </c>
      <c r="I157">
        <f>VLOOKUP(T2_Daily_Feed_Req[[#This Row],[Weekly ABW (g)]],MAIN!$A$2:$B$10,2,TRUE)</f>
        <v>4.5</v>
      </c>
      <c r="J157" s="2">
        <f>T2_Daily_Feed_Req[[#This Row],[Current Biomass (kg)]]*T2_Daily_Feed_Req[[#This Row],[Calc Feed Rate (%)]]/100</f>
        <v>1975.8497346000001</v>
      </c>
    </row>
    <row r="158" spans="1:10" ht="21.75" customHeight="1" x14ac:dyDescent="0.25">
      <c r="A158" s="16">
        <f t="shared" si="5"/>
        <v>46074</v>
      </c>
      <c r="B158" t="s">
        <v>27</v>
      </c>
      <c r="C158">
        <v>9.3000000000000007</v>
      </c>
      <c r="D158" s="2">
        <v>4186909</v>
      </c>
      <c r="E158">
        <v>12.27</v>
      </c>
      <c r="F158">
        <v>49</v>
      </c>
      <c r="G158" s="2">
        <v>3048590</v>
      </c>
      <c r="H158" s="2">
        <f>T2_Daily_Feed_Req[[#This Row],[Weekly ABW (g)]]*T2_Daily_Feed_Req[[#This Row],[Latest Pop Count]]/1000</f>
        <v>37406.1993</v>
      </c>
      <c r="I158">
        <f>VLOOKUP(T2_Daily_Feed_Req[[#This Row],[Weekly ABW (g)]],MAIN!$A$2:$B$10,2,TRUE)</f>
        <v>4.5</v>
      </c>
      <c r="J158" s="2">
        <f>T2_Daily_Feed_Req[[#This Row],[Current Biomass (kg)]]*T2_Daily_Feed_Req[[#This Row],[Calc Feed Rate (%)]]/100</f>
        <v>1683.2789684999998</v>
      </c>
    </row>
    <row r="159" spans="1:10" ht="21.75" customHeight="1" x14ac:dyDescent="0.25">
      <c r="A159" s="16">
        <f t="shared" si="5"/>
        <v>46074</v>
      </c>
      <c r="B159" t="s">
        <v>28</v>
      </c>
      <c r="C159">
        <v>9.52</v>
      </c>
      <c r="D159" s="2">
        <v>4286140</v>
      </c>
      <c r="E159">
        <v>10.93</v>
      </c>
      <c r="F159">
        <v>49</v>
      </c>
      <c r="G159" s="2">
        <v>3137972</v>
      </c>
      <c r="H159" s="2">
        <f>T2_Daily_Feed_Req[[#This Row],[Weekly ABW (g)]]*T2_Daily_Feed_Req[[#This Row],[Latest Pop Count]]/1000</f>
        <v>34298.033960000001</v>
      </c>
      <c r="I159">
        <f>VLOOKUP(T2_Daily_Feed_Req[[#This Row],[Weekly ABW (g)]],MAIN!$A$2:$B$10,2,TRUE)</f>
        <v>4.5</v>
      </c>
      <c r="J159" s="2">
        <f>T2_Daily_Feed_Req[[#This Row],[Current Biomass (kg)]]*T2_Daily_Feed_Req[[#This Row],[Calc Feed Rate (%)]]/100</f>
        <v>1543.4115282000002</v>
      </c>
    </row>
    <row r="160" spans="1:10" ht="21.75" customHeight="1" x14ac:dyDescent="0.25">
      <c r="A160" s="16">
        <f t="shared" si="5"/>
        <v>46074</v>
      </c>
      <c r="B160" t="s">
        <v>29</v>
      </c>
      <c r="C160">
        <v>9.43</v>
      </c>
      <c r="D160" s="2">
        <v>4244375</v>
      </c>
      <c r="E160">
        <v>14.65</v>
      </c>
      <c r="F160">
        <v>49</v>
      </c>
      <c r="G160" s="2">
        <v>2160300</v>
      </c>
      <c r="H160" s="2">
        <f>T2_Daily_Feed_Req[[#This Row],[Weekly ABW (g)]]*T2_Daily_Feed_Req[[#This Row],[Latest Pop Count]]/1000</f>
        <v>31648.395</v>
      </c>
      <c r="I160">
        <f>VLOOKUP(T2_Daily_Feed_Req[[#This Row],[Weekly ABW (g)]],MAIN!$A$2:$B$10,2,TRUE)</f>
        <v>4.5</v>
      </c>
      <c r="J160" s="2">
        <f>T2_Daily_Feed_Req[[#This Row],[Current Biomass (kg)]]*T2_Daily_Feed_Req[[#This Row],[Calc Feed Rate (%)]]/100</f>
        <v>1424.1777749999999</v>
      </c>
    </row>
    <row r="161" spans="1:10" ht="21.75" customHeight="1" x14ac:dyDescent="0.25">
      <c r="A161" s="16">
        <f t="shared" si="5"/>
        <v>46074</v>
      </c>
      <c r="B161" t="s">
        <v>30</v>
      </c>
      <c r="C161">
        <v>9.2899999999999991</v>
      </c>
      <c r="D161" s="2">
        <v>4181053</v>
      </c>
      <c r="E161">
        <v>12.21</v>
      </c>
      <c r="F161">
        <v>49</v>
      </c>
      <c r="G161" s="2">
        <v>3051684</v>
      </c>
      <c r="H161" s="2">
        <f>T2_Daily_Feed_Req[[#This Row],[Weekly ABW (g)]]*T2_Daily_Feed_Req[[#This Row],[Latest Pop Count]]/1000</f>
        <v>37261.06164</v>
      </c>
      <c r="I161">
        <f>VLOOKUP(T2_Daily_Feed_Req[[#This Row],[Weekly ABW (g)]],MAIN!$A$2:$B$10,2,TRUE)</f>
        <v>4.5</v>
      </c>
      <c r="J161" s="2">
        <f>T2_Daily_Feed_Req[[#This Row],[Current Biomass (kg)]]*T2_Daily_Feed_Req[[#This Row],[Calc Feed Rate (%)]]/100</f>
        <v>1676.7477737999998</v>
      </c>
    </row>
    <row r="162" spans="1:10" ht="21.75" customHeight="1" x14ac:dyDescent="0.25">
      <c r="A162" s="16">
        <f>A142+7</f>
        <v>46078</v>
      </c>
      <c r="B162" t="s">
        <v>8</v>
      </c>
      <c r="C162">
        <v>9.3699999999999992</v>
      </c>
      <c r="D162" s="2">
        <v>4218543</v>
      </c>
      <c r="E162">
        <v>13.73</v>
      </c>
      <c r="F162">
        <v>56</v>
      </c>
      <c r="G162" s="2">
        <v>3062762</v>
      </c>
      <c r="H162" s="2">
        <f>T2_Daily_Feed_Req[[#This Row],[Weekly ABW (g)]]*T2_Daily_Feed_Req[[#This Row],[Latest Pop Count]]/1000</f>
        <v>42051.722259999995</v>
      </c>
      <c r="I162">
        <f>VLOOKUP(T2_Daily_Feed_Req[[#This Row],[Weekly ABW (g)]],MAIN!$A$2:$B$10,2,TRUE)</f>
        <v>4.5</v>
      </c>
      <c r="J162" s="2">
        <f>T2_Daily_Feed_Req[[#This Row],[Current Biomass (kg)]]*T2_Daily_Feed_Req[[#This Row],[Calc Feed Rate (%)]]/100</f>
        <v>1892.3275016999999</v>
      </c>
    </row>
    <row r="163" spans="1:10" ht="21.75" customHeight="1" x14ac:dyDescent="0.25">
      <c r="A163" s="16">
        <f t="shared" ref="A163:A181" si="6">A143+7</f>
        <v>46078</v>
      </c>
      <c r="B163" t="s">
        <v>9</v>
      </c>
      <c r="C163">
        <v>9.9499999999999993</v>
      </c>
      <c r="D163" s="2">
        <v>4477821</v>
      </c>
      <c r="E163">
        <v>14.5</v>
      </c>
      <c r="F163">
        <v>56</v>
      </c>
      <c r="G163" s="2">
        <v>3285824</v>
      </c>
      <c r="H163" s="2">
        <f>T2_Daily_Feed_Req[[#This Row],[Weekly ABW (g)]]*T2_Daily_Feed_Req[[#This Row],[Latest Pop Count]]/1000</f>
        <v>47644.447999999997</v>
      </c>
      <c r="I163">
        <f>VLOOKUP(T2_Daily_Feed_Req[[#This Row],[Weekly ABW (g)]],MAIN!$A$2:$B$10,2,TRUE)</f>
        <v>4.5</v>
      </c>
      <c r="J163" s="2">
        <f>T2_Daily_Feed_Req[[#This Row],[Current Biomass (kg)]]*T2_Daily_Feed_Req[[#This Row],[Calc Feed Rate (%)]]/100</f>
        <v>2144.0001599999996</v>
      </c>
    </row>
    <row r="164" spans="1:10" ht="21.75" customHeight="1" x14ac:dyDescent="0.25">
      <c r="A164" s="16">
        <f t="shared" si="6"/>
        <v>46078</v>
      </c>
      <c r="B164" t="s">
        <v>10</v>
      </c>
      <c r="C164">
        <v>9.73</v>
      </c>
      <c r="D164" s="2">
        <v>4379397</v>
      </c>
      <c r="E164">
        <v>13.17</v>
      </c>
      <c r="F164">
        <v>56</v>
      </c>
      <c r="G164" s="2">
        <v>3183665</v>
      </c>
      <c r="H164" s="2">
        <f>T2_Daily_Feed_Req[[#This Row],[Weekly ABW (g)]]*T2_Daily_Feed_Req[[#This Row],[Latest Pop Count]]/1000</f>
        <v>41928.868049999997</v>
      </c>
      <c r="I164">
        <f>VLOOKUP(T2_Daily_Feed_Req[[#This Row],[Weekly ABW (g)]],MAIN!$A$2:$B$10,2,TRUE)</f>
        <v>4.5</v>
      </c>
      <c r="J164" s="2">
        <f>T2_Daily_Feed_Req[[#This Row],[Current Biomass (kg)]]*T2_Daily_Feed_Req[[#This Row],[Calc Feed Rate (%)]]/100</f>
        <v>1886.7990622499999</v>
      </c>
    </row>
    <row r="165" spans="1:10" ht="21.75" customHeight="1" x14ac:dyDescent="0.25">
      <c r="A165" s="16">
        <f t="shared" si="6"/>
        <v>46078</v>
      </c>
      <c r="B165" t="s">
        <v>11</v>
      </c>
      <c r="C165">
        <v>9.6</v>
      </c>
      <c r="D165" s="2">
        <v>4319396</v>
      </c>
      <c r="E165">
        <v>14.57</v>
      </c>
      <c r="F165">
        <v>56</v>
      </c>
      <c r="G165" s="2">
        <v>2056410</v>
      </c>
      <c r="H165" s="2">
        <f>T2_Daily_Feed_Req[[#This Row],[Weekly ABW (g)]]*T2_Daily_Feed_Req[[#This Row],[Latest Pop Count]]/1000</f>
        <v>29961.893700000001</v>
      </c>
      <c r="I165">
        <f>VLOOKUP(T2_Daily_Feed_Req[[#This Row],[Weekly ABW (g)]],MAIN!$A$2:$B$10,2,TRUE)</f>
        <v>4.5</v>
      </c>
      <c r="J165" s="2">
        <f>T2_Daily_Feed_Req[[#This Row],[Current Biomass (kg)]]*T2_Daily_Feed_Req[[#This Row],[Calc Feed Rate (%)]]/100</f>
        <v>1348.2852165000002</v>
      </c>
    </row>
    <row r="166" spans="1:10" ht="21.75" customHeight="1" x14ac:dyDescent="0.25">
      <c r="A166" s="16">
        <f t="shared" si="6"/>
        <v>46078</v>
      </c>
      <c r="B166" t="s">
        <v>12</v>
      </c>
      <c r="C166">
        <v>9.16</v>
      </c>
      <c r="D166" s="2">
        <v>4120208</v>
      </c>
      <c r="E166">
        <v>14.31</v>
      </c>
      <c r="F166">
        <v>56</v>
      </c>
      <c r="G166" s="2">
        <v>3018859</v>
      </c>
      <c r="H166" s="2">
        <f>T2_Daily_Feed_Req[[#This Row],[Weekly ABW (g)]]*T2_Daily_Feed_Req[[#This Row],[Latest Pop Count]]/1000</f>
        <v>43199.872289999999</v>
      </c>
      <c r="I166">
        <f>VLOOKUP(T2_Daily_Feed_Req[[#This Row],[Weekly ABW (g)]],MAIN!$A$2:$B$10,2,TRUE)</f>
        <v>4.5</v>
      </c>
      <c r="J166" s="2">
        <f>T2_Daily_Feed_Req[[#This Row],[Current Biomass (kg)]]*T2_Daily_Feed_Req[[#This Row],[Calc Feed Rate (%)]]/100</f>
        <v>1943.9942530499998</v>
      </c>
    </row>
    <row r="167" spans="1:10" ht="21.75" customHeight="1" x14ac:dyDescent="0.25">
      <c r="A167" s="16">
        <f t="shared" si="6"/>
        <v>46079</v>
      </c>
      <c r="B167" t="s">
        <v>14</v>
      </c>
      <c r="C167">
        <v>9.16</v>
      </c>
      <c r="D167" s="2">
        <v>4120198</v>
      </c>
      <c r="E167">
        <v>15.09</v>
      </c>
      <c r="F167">
        <v>56</v>
      </c>
      <c r="G167" s="2">
        <v>1916547</v>
      </c>
      <c r="H167" s="2">
        <f>T2_Daily_Feed_Req[[#This Row],[Weekly ABW (g)]]*T2_Daily_Feed_Req[[#This Row],[Latest Pop Count]]/1000</f>
        <v>28920.694230000001</v>
      </c>
      <c r="I167">
        <f>VLOOKUP(T2_Daily_Feed_Req[[#This Row],[Weekly ABW (g)]],MAIN!$A$2:$B$10,2,TRUE)</f>
        <v>3.8</v>
      </c>
      <c r="J167" s="2">
        <f>T2_Daily_Feed_Req[[#This Row],[Current Biomass (kg)]]*T2_Daily_Feed_Req[[#This Row],[Calc Feed Rate (%)]]/100</f>
        <v>1098.98638074</v>
      </c>
    </row>
    <row r="168" spans="1:10" ht="21.75" customHeight="1" x14ac:dyDescent="0.25">
      <c r="A168" s="16">
        <f t="shared" si="6"/>
        <v>46079</v>
      </c>
      <c r="B168" t="s">
        <v>15</v>
      </c>
      <c r="C168">
        <v>9.06</v>
      </c>
      <c r="D168" s="2">
        <v>4076138</v>
      </c>
      <c r="E168">
        <v>13.81</v>
      </c>
      <c r="F168">
        <v>56</v>
      </c>
      <c r="G168" s="2">
        <v>1708128</v>
      </c>
      <c r="H168" s="2">
        <f>T2_Daily_Feed_Req[[#This Row],[Weekly ABW (g)]]*T2_Daily_Feed_Req[[#This Row],[Latest Pop Count]]/1000</f>
        <v>23589.24768</v>
      </c>
      <c r="I168">
        <f>VLOOKUP(T2_Daily_Feed_Req[[#This Row],[Weekly ABW (g)]],MAIN!$A$2:$B$10,2,TRUE)</f>
        <v>4.5</v>
      </c>
      <c r="J168" s="2">
        <f>T2_Daily_Feed_Req[[#This Row],[Current Biomass (kg)]]*T2_Daily_Feed_Req[[#This Row],[Calc Feed Rate (%)]]/100</f>
        <v>1061.5161456000001</v>
      </c>
    </row>
    <row r="169" spans="1:10" ht="21.75" customHeight="1" x14ac:dyDescent="0.25">
      <c r="A169" s="16">
        <f t="shared" si="6"/>
        <v>46079</v>
      </c>
      <c r="B169" t="s">
        <v>16</v>
      </c>
      <c r="C169">
        <v>9.8699999999999992</v>
      </c>
      <c r="D169" s="2">
        <v>4439779</v>
      </c>
      <c r="E169">
        <v>14.02</v>
      </c>
      <c r="F169">
        <v>56</v>
      </c>
      <c r="G169" s="2">
        <v>2154873</v>
      </c>
      <c r="H169" s="2">
        <f>T2_Daily_Feed_Req[[#This Row],[Weekly ABW (g)]]*T2_Daily_Feed_Req[[#This Row],[Latest Pop Count]]/1000</f>
        <v>30211.319460000002</v>
      </c>
      <c r="I169">
        <f>VLOOKUP(T2_Daily_Feed_Req[[#This Row],[Weekly ABW (g)]],MAIN!$A$2:$B$10,2,TRUE)</f>
        <v>4.5</v>
      </c>
      <c r="J169" s="2">
        <f>T2_Daily_Feed_Req[[#This Row],[Current Biomass (kg)]]*T2_Daily_Feed_Req[[#This Row],[Calc Feed Rate (%)]]/100</f>
        <v>1359.5093757000002</v>
      </c>
    </row>
    <row r="170" spans="1:10" ht="21.75" customHeight="1" x14ac:dyDescent="0.25">
      <c r="A170" s="16">
        <f t="shared" si="6"/>
        <v>46079</v>
      </c>
      <c r="B170" t="s">
        <v>17</v>
      </c>
      <c r="C170">
        <v>9.6</v>
      </c>
      <c r="D170" s="2">
        <v>4320502</v>
      </c>
      <c r="E170">
        <v>14.33</v>
      </c>
      <c r="F170">
        <v>56</v>
      </c>
      <c r="G170" s="2">
        <v>3133904</v>
      </c>
      <c r="H170" s="2">
        <f>T2_Daily_Feed_Req[[#This Row],[Weekly ABW (g)]]*T2_Daily_Feed_Req[[#This Row],[Latest Pop Count]]/1000</f>
        <v>44908.844320000004</v>
      </c>
      <c r="I170">
        <f>VLOOKUP(T2_Daily_Feed_Req[[#This Row],[Weekly ABW (g)]],MAIN!$A$2:$B$10,2,TRUE)</f>
        <v>4.5</v>
      </c>
      <c r="J170" s="2">
        <f>T2_Daily_Feed_Req[[#This Row],[Current Biomass (kg)]]*T2_Daily_Feed_Req[[#This Row],[Calc Feed Rate (%)]]/100</f>
        <v>2020.8979944000002</v>
      </c>
    </row>
    <row r="171" spans="1:10" ht="21.75" customHeight="1" x14ac:dyDescent="0.25">
      <c r="A171" s="16">
        <f t="shared" si="6"/>
        <v>46079</v>
      </c>
      <c r="B171" t="s">
        <v>18</v>
      </c>
      <c r="C171">
        <v>9.7100000000000009</v>
      </c>
      <c r="D171" s="2">
        <v>4368633</v>
      </c>
      <c r="E171">
        <v>13.47</v>
      </c>
      <c r="F171">
        <v>56</v>
      </c>
      <c r="G171" s="2">
        <v>3175156</v>
      </c>
      <c r="H171" s="2">
        <f>T2_Daily_Feed_Req[[#This Row],[Weekly ABW (g)]]*T2_Daily_Feed_Req[[#This Row],[Latest Pop Count]]/1000</f>
        <v>42769.351320000002</v>
      </c>
      <c r="I171">
        <f>VLOOKUP(T2_Daily_Feed_Req[[#This Row],[Weekly ABW (g)]],MAIN!$A$2:$B$10,2,TRUE)</f>
        <v>4.5</v>
      </c>
      <c r="J171" s="2">
        <f>T2_Daily_Feed_Req[[#This Row],[Current Biomass (kg)]]*T2_Daily_Feed_Req[[#This Row],[Calc Feed Rate (%)]]/100</f>
        <v>1924.6208094000001</v>
      </c>
    </row>
    <row r="172" spans="1:10" ht="21.75" customHeight="1" x14ac:dyDescent="0.25">
      <c r="A172" s="16">
        <f t="shared" si="6"/>
        <v>46080</v>
      </c>
      <c r="B172" t="s">
        <v>20</v>
      </c>
      <c r="C172">
        <v>9.02</v>
      </c>
      <c r="D172" s="2">
        <v>4059263</v>
      </c>
      <c r="E172">
        <v>14.45</v>
      </c>
      <c r="F172">
        <v>56</v>
      </c>
      <c r="G172" s="2">
        <v>1996310</v>
      </c>
      <c r="H172" s="2">
        <f>T2_Daily_Feed_Req[[#This Row],[Weekly ABW (g)]]*T2_Daily_Feed_Req[[#This Row],[Latest Pop Count]]/1000</f>
        <v>28846.679499999998</v>
      </c>
      <c r="I172">
        <f>VLOOKUP(T2_Daily_Feed_Req[[#This Row],[Weekly ABW (g)]],MAIN!$A$2:$B$10,2,TRUE)</f>
        <v>4.5</v>
      </c>
      <c r="J172" s="2">
        <f>T2_Daily_Feed_Req[[#This Row],[Current Biomass (kg)]]*T2_Daily_Feed_Req[[#This Row],[Calc Feed Rate (%)]]/100</f>
        <v>1298.1005774999999</v>
      </c>
    </row>
    <row r="173" spans="1:10" ht="21.75" customHeight="1" x14ac:dyDescent="0.25">
      <c r="A173" s="16">
        <f t="shared" si="6"/>
        <v>46080</v>
      </c>
      <c r="B173" t="s">
        <v>21</v>
      </c>
      <c r="C173">
        <v>9.9700000000000006</v>
      </c>
      <c r="D173" s="2">
        <v>4486459</v>
      </c>
      <c r="E173">
        <v>14.18</v>
      </c>
      <c r="F173">
        <v>56</v>
      </c>
      <c r="G173" s="2">
        <v>3265884</v>
      </c>
      <c r="H173" s="2">
        <f>T2_Daily_Feed_Req[[#This Row],[Weekly ABW (g)]]*T2_Daily_Feed_Req[[#This Row],[Latest Pop Count]]/1000</f>
        <v>46310.235119999998</v>
      </c>
      <c r="I173">
        <f>VLOOKUP(T2_Daily_Feed_Req[[#This Row],[Weekly ABW (g)]],MAIN!$A$2:$B$10,2,TRUE)</f>
        <v>4.5</v>
      </c>
      <c r="J173" s="2">
        <f>T2_Daily_Feed_Req[[#This Row],[Current Biomass (kg)]]*T2_Daily_Feed_Req[[#This Row],[Calc Feed Rate (%)]]/100</f>
        <v>2083.9605803999998</v>
      </c>
    </row>
    <row r="174" spans="1:10" ht="21.75" customHeight="1" x14ac:dyDescent="0.25">
      <c r="A174" s="16">
        <f t="shared" si="6"/>
        <v>46080</v>
      </c>
      <c r="B174" t="s">
        <v>22</v>
      </c>
      <c r="C174">
        <v>9.83</v>
      </c>
      <c r="D174" s="2">
        <v>4424599</v>
      </c>
      <c r="E174">
        <v>15.02</v>
      </c>
      <c r="F174">
        <v>56</v>
      </c>
      <c r="G174" s="2">
        <v>3248753</v>
      </c>
      <c r="H174" s="2">
        <f>T2_Daily_Feed_Req[[#This Row],[Weekly ABW (g)]]*T2_Daily_Feed_Req[[#This Row],[Latest Pop Count]]/1000</f>
        <v>48796.270059999995</v>
      </c>
      <c r="I174">
        <f>VLOOKUP(T2_Daily_Feed_Req[[#This Row],[Weekly ABW (g)]],MAIN!$A$2:$B$10,2,TRUE)</f>
        <v>3.8</v>
      </c>
      <c r="J174" s="2">
        <f>T2_Daily_Feed_Req[[#This Row],[Current Biomass (kg)]]*T2_Daily_Feed_Req[[#This Row],[Calc Feed Rate (%)]]/100</f>
        <v>1854.2582622799996</v>
      </c>
    </row>
    <row r="175" spans="1:10" ht="21.75" customHeight="1" x14ac:dyDescent="0.25">
      <c r="A175" s="16">
        <f t="shared" si="6"/>
        <v>46080</v>
      </c>
      <c r="B175" t="s">
        <v>23</v>
      </c>
      <c r="C175">
        <v>9.2100000000000009</v>
      </c>
      <c r="D175" s="2">
        <v>4145553</v>
      </c>
      <c r="E175">
        <v>15.87</v>
      </c>
      <c r="F175">
        <v>56</v>
      </c>
      <c r="G175" s="2">
        <v>1635780</v>
      </c>
      <c r="H175" s="2">
        <f>T2_Daily_Feed_Req[[#This Row],[Weekly ABW (g)]]*T2_Daily_Feed_Req[[#This Row],[Latest Pop Count]]/1000</f>
        <v>25959.828599999997</v>
      </c>
      <c r="I175">
        <f>VLOOKUP(T2_Daily_Feed_Req[[#This Row],[Weekly ABW (g)]],MAIN!$A$2:$B$10,2,TRUE)</f>
        <v>3.8</v>
      </c>
      <c r="J175" s="2">
        <f>T2_Daily_Feed_Req[[#This Row],[Current Biomass (kg)]]*T2_Daily_Feed_Req[[#This Row],[Calc Feed Rate (%)]]/100</f>
        <v>986.47348679999982</v>
      </c>
    </row>
    <row r="176" spans="1:10" ht="21.75" customHeight="1" x14ac:dyDescent="0.25">
      <c r="A176" s="16">
        <f t="shared" si="6"/>
        <v>46080</v>
      </c>
      <c r="B176" t="s">
        <v>24</v>
      </c>
      <c r="C176">
        <v>9.18</v>
      </c>
      <c r="D176" s="2">
        <v>4131821</v>
      </c>
      <c r="E176">
        <v>15.02</v>
      </c>
      <c r="F176">
        <v>56</v>
      </c>
      <c r="G176" s="2">
        <v>3010366</v>
      </c>
      <c r="H176" s="2">
        <f>T2_Daily_Feed_Req[[#This Row],[Weekly ABW (g)]]*T2_Daily_Feed_Req[[#This Row],[Latest Pop Count]]/1000</f>
        <v>45215.697319999999</v>
      </c>
      <c r="I176">
        <f>VLOOKUP(T2_Daily_Feed_Req[[#This Row],[Weekly ABW (g)]],MAIN!$A$2:$B$10,2,TRUE)</f>
        <v>3.8</v>
      </c>
      <c r="J176" s="2">
        <f>T2_Daily_Feed_Req[[#This Row],[Current Biomass (kg)]]*T2_Daily_Feed_Req[[#This Row],[Calc Feed Rate (%)]]/100</f>
        <v>1718.1964981599999</v>
      </c>
    </row>
    <row r="177" spans="1:10" ht="21.75" customHeight="1" x14ac:dyDescent="0.25">
      <c r="A177" s="16">
        <f t="shared" si="6"/>
        <v>46081</v>
      </c>
      <c r="B177" t="s">
        <v>26</v>
      </c>
      <c r="C177">
        <v>9.18</v>
      </c>
      <c r="D177" s="2">
        <v>4132532</v>
      </c>
      <c r="E177">
        <v>16.38</v>
      </c>
      <c r="F177">
        <v>56</v>
      </c>
      <c r="G177" s="2">
        <v>3019804</v>
      </c>
      <c r="H177" s="2">
        <f>T2_Daily_Feed_Req[[#This Row],[Weekly ABW (g)]]*T2_Daily_Feed_Req[[#This Row],[Latest Pop Count]]/1000</f>
        <v>49464.389519999997</v>
      </c>
      <c r="I177">
        <f>VLOOKUP(T2_Daily_Feed_Req[[#This Row],[Weekly ABW (g)]],MAIN!$A$2:$B$10,2,TRUE)</f>
        <v>3.8</v>
      </c>
      <c r="J177" s="2">
        <f>T2_Daily_Feed_Req[[#This Row],[Current Biomass (kg)]]*T2_Daily_Feed_Req[[#This Row],[Calc Feed Rate (%)]]/100</f>
        <v>1879.6468017599996</v>
      </c>
    </row>
    <row r="178" spans="1:10" ht="21.75" customHeight="1" x14ac:dyDescent="0.25">
      <c r="A178" s="16">
        <f t="shared" si="6"/>
        <v>46081</v>
      </c>
      <c r="B178" t="s">
        <v>27</v>
      </c>
      <c r="C178">
        <v>9.3000000000000007</v>
      </c>
      <c r="D178" s="2">
        <v>4186909</v>
      </c>
      <c r="E178">
        <v>13.33</v>
      </c>
      <c r="F178">
        <v>56</v>
      </c>
      <c r="G178" s="2">
        <v>3043583</v>
      </c>
      <c r="H178" s="2">
        <f>T2_Daily_Feed_Req[[#This Row],[Weekly ABW (g)]]*T2_Daily_Feed_Req[[#This Row],[Latest Pop Count]]/1000</f>
        <v>40570.961390000004</v>
      </c>
      <c r="I178">
        <f>VLOOKUP(T2_Daily_Feed_Req[[#This Row],[Weekly ABW (g)]],MAIN!$A$2:$B$10,2,TRUE)</f>
        <v>4.5</v>
      </c>
      <c r="J178" s="2">
        <f>T2_Daily_Feed_Req[[#This Row],[Current Biomass (kg)]]*T2_Daily_Feed_Req[[#This Row],[Calc Feed Rate (%)]]/100</f>
        <v>1825.6932625500003</v>
      </c>
    </row>
    <row r="179" spans="1:10" ht="21.75" customHeight="1" x14ac:dyDescent="0.25">
      <c r="A179" s="16">
        <f t="shared" si="6"/>
        <v>46081</v>
      </c>
      <c r="B179" t="s">
        <v>28</v>
      </c>
      <c r="C179">
        <v>9.52</v>
      </c>
      <c r="D179" s="2">
        <v>4286140</v>
      </c>
      <c r="E179">
        <v>12.43</v>
      </c>
      <c r="F179">
        <v>56</v>
      </c>
      <c r="G179" s="2">
        <v>3130080</v>
      </c>
      <c r="H179" s="2">
        <f>T2_Daily_Feed_Req[[#This Row],[Weekly ABW (g)]]*T2_Daily_Feed_Req[[#This Row],[Latest Pop Count]]/1000</f>
        <v>38906.894399999997</v>
      </c>
      <c r="I179">
        <f>VLOOKUP(T2_Daily_Feed_Req[[#This Row],[Weekly ABW (g)]],MAIN!$A$2:$B$10,2,TRUE)</f>
        <v>4.5</v>
      </c>
      <c r="J179" s="2">
        <f>T2_Daily_Feed_Req[[#This Row],[Current Biomass (kg)]]*T2_Daily_Feed_Req[[#This Row],[Calc Feed Rate (%)]]/100</f>
        <v>1750.8102479999998</v>
      </c>
    </row>
    <row r="180" spans="1:10" ht="21.75" customHeight="1" x14ac:dyDescent="0.25">
      <c r="A180" s="16">
        <f t="shared" si="6"/>
        <v>46081</v>
      </c>
      <c r="B180" t="s">
        <v>29</v>
      </c>
      <c r="C180">
        <v>9.43</v>
      </c>
      <c r="D180" s="2">
        <v>4244375</v>
      </c>
      <c r="E180">
        <v>16.52</v>
      </c>
      <c r="F180">
        <v>56</v>
      </c>
      <c r="G180" s="2">
        <v>2102805</v>
      </c>
      <c r="H180" s="2">
        <f>T2_Daily_Feed_Req[[#This Row],[Weekly ABW (g)]]*T2_Daily_Feed_Req[[#This Row],[Latest Pop Count]]/1000</f>
        <v>34738.338600000003</v>
      </c>
      <c r="I180">
        <f>VLOOKUP(T2_Daily_Feed_Req[[#This Row],[Weekly ABW (g)]],MAIN!$A$2:$B$10,2,TRUE)</f>
        <v>3.8</v>
      </c>
      <c r="J180" s="2">
        <f>T2_Daily_Feed_Req[[#This Row],[Current Biomass (kg)]]*T2_Daily_Feed_Req[[#This Row],[Calc Feed Rate (%)]]/100</f>
        <v>1320.0568668000001</v>
      </c>
    </row>
    <row r="181" spans="1:10" ht="21.75" customHeight="1" x14ac:dyDescent="0.25">
      <c r="A181" s="16">
        <f t="shared" si="6"/>
        <v>46081</v>
      </c>
      <c r="B181" t="s">
        <v>30</v>
      </c>
      <c r="C181">
        <v>9.2899999999999991</v>
      </c>
      <c r="D181" s="2">
        <v>4181053</v>
      </c>
      <c r="E181">
        <v>13.68</v>
      </c>
      <c r="F181">
        <v>56</v>
      </c>
      <c r="G181" s="2">
        <v>3043078</v>
      </c>
      <c r="H181" s="2">
        <f>T2_Daily_Feed_Req[[#This Row],[Weekly ABW (g)]]*T2_Daily_Feed_Req[[#This Row],[Latest Pop Count]]/1000</f>
        <v>41629.30704</v>
      </c>
      <c r="I181">
        <f>VLOOKUP(T2_Daily_Feed_Req[[#This Row],[Weekly ABW (g)]],MAIN!$A$2:$B$10,2,TRUE)</f>
        <v>4.5</v>
      </c>
      <c r="J181" s="2">
        <f>T2_Daily_Feed_Req[[#This Row],[Current Biomass (kg)]]*T2_Daily_Feed_Req[[#This Row],[Calc Feed Rate (%)]]/100</f>
        <v>1873.3188167999999</v>
      </c>
    </row>
    <row r="182" spans="1:10" ht="21.75" customHeight="1" x14ac:dyDescent="0.25">
      <c r="A182" s="16">
        <f>A162+7</f>
        <v>46085</v>
      </c>
      <c r="B182" t="s">
        <v>8</v>
      </c>
      <c r="C182">
        <v>9.3699999999999992</v>
      </c>
      <c r="D182" s="2">
        <v>4218543</v>
      </c>
      <c r="E182">
        <v>14.6</v>
      </c>
      <c r="F182">
        <v>60</v>
      </c>
      <c r="G182" s="2">
        <v>3049155</v>
      </c>
      <c r="H182" s="2">
        <f>T2_Daily_Feed_Req[[#This Row],[Weekly ABW (g)]]*T2_Daily_Feed_Req[[#This Row],[Latest Pop Count]]/1000</f>
        <v>44517.663</v>
      </c>
      <c r="I182">
        <f>VLOOKUP(T2_Daily_Feed_Req[[#This Row],[Weekly ABW (g)]],MAIN!$A$2:$B$10,2,TRUE)</f>
        <v>4.5</v>
      </c>
      <c r="J182" s="2">
        <f>T2_Daily_Feed_Req[[#This Row],[Current Biomass (kg)]]*T2_Daily_Feed_Req[[#This Row],[Calc Feed Rate (%)]]/100</f>
        <v>2003.2948349999999</v>
      </c>
    </row>
    <row r="183" spans="1:10" ht="21.75" customHeight="1" x14ac:dyDescent="0.25">
      <c r="A183" s="16">
        <f t="shared" ref="A183:A201" si="7">A163+7</f>
        <v>46085</v>
      </c>
      <c r="B183" t="s">
        <v>9</v>
      </c>
      <c r="C183">
        <v>9.9499999999999993</v>
      </c>
      <c r="D183" s="2">
        <v>4477821</v>
      </c>
      <c r="E183">
        <v>15.27</v>
      </c>
      <c r="F183">
        <v>60</v>
      </c>
      <c r="G183" s="2">
        <v>3273994</v>
      </c>
      <c r="H183" s="2">
        <f>T2_Daily_Feed_Req[[#This Row],[Weekly ABW (g)]]*T2_Daily_Feed_Req[[#This Row],[Latest Pop Count]]/1000</f>
        <v>49993.888379999997</v>
      </c>
      <c r="I183">
        <f>VLOOKUP(T2_Daily_Feed_Req[[#This Row],[Weekly ABW (g)]],MAIN!$A$2:$B$10,2,TRUE)</f>
        <v>3.8</v>
      </c>
      <c r="J183" s="2">
        <f>T2_Daily_Feed_Req[[#This Row],[Current Biomass (kg)]]*T2_Daily_Feed_Req[[#This Row],[Calc Feed Rate (%)]]/100</f>
        <v>1899.7677584399999</v>
      </c>
    </row>
    <row r="184" spans="1:10" ht="21.75" customHeight="1" x14ac:dyDescent="0.25">
      <c r="A184" s="16">
        <f t="shared" si="7"/>
        <v>46085</v>
      </c>
      <c r="B184" t="s">
        <v>10</v>
      </c>
      <c r="C184">
        <v>9.73</v>
      </c>
      <c r="D184" s="2">
        <v>4379397</v>
      </c>
      <c r="E184">
        <v>14.24</v>
      </c>
      <c r="F184">
        <v>60</v>
      </c>
      <c r="G184" s="2">
        <v>3179348</v>
      </c>
      <c r="H184" s="2">
        <f>T2_Daily_Feed_Req[[#This Row],[Weekly ABW (g)]]*T2_Daily_Feed_Req[[#This Row],[Latest Pop Count]]/1000</f>
        <v>45273.915520000002</v>
      </c>
      <c r="I184">
        <f>VLOOKUP(T2_Daily_Feed_Req[[#This Row],[Weekly ABW (g)]],MAIN!$A$2:$B$10,2,TRUE)</f>
        <v>4.5</v>
      </c>
      <c r="J184" s="2">
        <f>T2_Daily_Feed_Req[[#This Row],[Current Biomass (kg)]]*T2_Daily_Feed_Req[[#This Row],[Calc Feed Rate (%)]]/100</f>
        <v>2037.3261984000001</v>
      </c>
    </row>
    <row r="185" spans="1:10" ht="21.75" customHeight="1" x14ac:dyDescent="0.25">
      <c r="A185" s="16">
        <f t="shared" si="7"/>
        <v>46085</v>
      </c>
      <c r="B185" t="s">
        <v>11</v>
      </c>
      <c r="C185">
        <v>9.6</v>
      </c>
      <c r="D185" s="2">
        <v>4319396</v>
      </c>
      <c r="E185">
        <v>15.57</v>
      </c>
      <c r="F185">
        <v>60</v>
      </c>
      <c r="G185" s="2">
        <v>2044152</v>
      </c>
      <c r="H185" s="2">
        <f>T2_Daily_Feed_Req[[#This Row],[Weekly ABW (g)]]*T2_Daily_Feed_Req[[#This Row],[Latest Pop Count]]/1000</f>
        <v>31827.446640000002</v>
      </c>
      <c r="I185">
        <f>VLOOKUP(T2_Daily_Feed_Req[[#This Row],[Weekly ABW (g)]],MAIN!$A$2:$B$10,2,TRUE)</f>
        <v>3.8</v>
      </c>
      <c r="J185" s="2">
        <f>T2_Daily_Feed_Req[[#This Row],[Current Biomass (kg)]]*T2_Daily_Feed_Req[[#This Row],[Calc Feed Rate (%)]]/100</f>
        <v>1209.4429723200001</v>
      </c>
    </row>
    <row r="186" spans="1:10" ht="21.75" customHeight="1" x14ac:dyDescent="0.25">
      <c r="A186" s="16">
        <f t="shared" si="7"/>
        <v>46085</v>
      </c>
      <c r="B186" t="s">
        <v>12</v>
      </c>
      <c r="C186">
        <v>9.16</v>
      </c>
      <c r="D186" s="2">
        <v>4120208</v>
      </c>
      <c r="E186">
        <v>15.32</v>
      </c>
      <c r="F186">
        <v>60</v>
      </c>
      <c r="G186" s="2">
        <v>3007600</v>
      </c>
      <c r="H186" s="2">
        <f>T2_Daily_Feed_Req[[#This Row],[Weekly ABW (g)]]*T2_Daily_Feed_Req[[#This Row],[Latest Pop Count]]/1000</f>
        <v>46076.432000000001</v>
      </c>
      <c r="I186">
        <f>VLOOKUP(T2_Daily_Feed_Req[[#This Row],[Weekly ABW (g)]],MAIN!$A$2:$B$10,2,TRUE)</f>
        <v>3.8</v>
      </c>
      <c r="J186" s="2">
        <f>T2_Daily_Feed_Req[[#This Row],[Current Biomass (kg)]]*T2_Daily_Feed_Req[[#This Row],[Calc Feed Rate (%)]]/100</f>
        <v>1750.9044159999999</v>
      </c>
    </row>
    <row r="187" spans="1:10" ht="21.75" customHeight="1" x14ac:dyDescent="0.25">
      <c r="A187" s="16">
        <f t="shared" si="7"/>
        <v>46086</v>
      </c>
      <c r="B187" t="s">
        <v>14</v>
      </c>
      <c r="C187">
        <v>9.16</v>
      </c>
      <c r="D187" s="2">
        <v>4120198</v>
      </c>
      <c r="E187">
        <v>15.9</v>
      </c>
      <c r="F187">
        <v>60</v>
      </c>
      <c r="G187" s="2">
        <v>1890342</v>
      </c>
      <c r="H187" s="2">
        <f>T2_Daily_Feed_Req[[#This Row],[Weekly ABW (g)]]*T2_Daily_Feed_Req[[#This Row],[Latest Pop Count]]/1000</f>
        <v>30056.4378</v>
      </c>
      <c r="I187">
        <f>VLOOKUP(T2_Daily_Feed_Req[[#This Row],[Weekly ABW (g)]],MAIN!$A$2:$B$10,2,TRUE)</f>
        <v>3.8</v>
      </c>
      <c r="J187" s="2">
        <f>T2_Daily_Feed_Req[[#This Row],[Current Biomass (kg)]]*T2_Daily_Feed_Req[[#This Row],[Calc Feed Rate (%)]]/100</f>
        <v>1142.1446363999999</v>
      </c>
    </row>
    <row r="188" spans="1:10" ht="21.75" customHeight="1" x14ac:dyDescent="0.25">
      <c r="A188" s="16">
        <f t="shared" si="7"/>
        <v>46086</v>
      </c>
      <c r="B188" t="s">
        <v>15</v>
      </c>
      <c r="C188">
        <v>9.06</v>
      </c>
      <c r="D188" s="2">
        <v>4076138</v>
      </c>
      <c r="E188">
        <v>14.6</v>
      </c>
      <c r="F188">
        <v>60</v>
      </c>
      <c r="G188" s="2">
        <v>1696372</v>
      </c>
      <c r="H188" s="2">
        <f>T2_Daily_Feed_Req[[#This Row],[Weekly ABW (g)]]*T2_Daily_Feed_Req[[#This Row],[Latest Pop Count]]/1000</f>
        <v>24767.031199999998</v>
      </c>
      <c r="I188">
        <f>VLOOKUP(T2_Daily_Feed_Req[[#This Row],[Weekly ABW (g)]],MAIN!$A$2:$B$10,2,TRUE)</f>
        <v>4.5</v>
      </c>
      <c r="J188" s="2">
        <f>T2_Daily_Feed_Req[[#This Row],[Current Biomass (kg)]]*T2_Daily_Feed_Req[[#This Row],[Calc Feed Rate (%)]]/100</f>
        <v>1114.516404</v>
      </c>
    </row>
    <row r="189" spans="1:10" ht="21.75" customHeight="1" x14ac:dyDescent="0.25">
      <c r="A189" s="16">
        <f t="shared" si="7"/>
        <v>46086</v>
      </c>
      <c r="B189" t="s">
        <v>16</v>
      </c>
      <c r="C189">
        <v>9.8699999999999992</v>
      </c>
      <c r="D189" s="2">
        <v>4439779</v>
      </c>
      <c r="E189">
        <v>14.73</v>
      </c>
      <c r="F189">
        <v>60</v>
      </c>
      <c r="G189" s="2">
        <v>2141695</v>
      </c>
      <c r="H189" s="2">
        <f>T2_Daily_Feed_Req[[#This Row],[Weekly ABW (g)]]*T2_Daily_Feed_Req[[#This Row],[Latest Pop Count]]/1000</f>
        <v>31547.16735</v>
      </c>
      <c r="I189">
        <f>VLOOKUP(T2_Daily_Feed_Req[[#This Row],[Weekly ABW (g)]],MAIN!$A$2:$B$10,2,TRUE)</f>
        <v>4.5</v>
      </c>
      <c r="J189" s="2">
        <f>T2_Daily_Feed_Req[[#This Row],[Current Biomass (kg)]]*T2_Daily_Feed_Req[[#This Row],[Calc Feed Rate (%)]]/100</f>
        <v>1419.6225307499999</v>
      </c>
    </row>
    <row r="190" spans="1:10" ht="21.75" customHeight="1" x14ac:dyDescent="0.25">
      <c r="A190" s="16">
        <f t="shared" si="7"/>
        <v>46086</v>
      </c>
      <c r="B190" t="s">
        <v>17</v>
      </c>
      <c r="C190">
        <v>9.6</v>
      </c>
      <c r="D190" s="2">
        <v>4320502</v>
      </c>
      <c r="E190">
        <v>14.93</v>
      </c>
      <c r="F190">
        <v>60</v>
      </c>
      <c r="G190" s="2">
        <v>3118819</v>
      </c>
      <c r="H190" s="2">
        <f>T2_Daily_Feed_Req[[#This Row],[Weekly ABW (g)]]*T2_Daily_Feed_Req[[#This Row],[Latest Pop Count]]/1000</f>
        <v>46563.967669999998</v>
      </c>
      <c r="I190">
        <f>VLOOKUP(T2_Daily_Feed_Req[[#This Row],[Weekly ABW (g)]],MAIN!$A$2:$B$10,2,TRUE)</f>
        <v>4.5</v>
      </c>
      <c r="J190" s="2">
        <f>T2_Daily_Feed_Req[[#This Row],[Current Biomass (kg)]]*T2_Daily_Feed_Req[[#This Row],[Calc Feed Rate (%)]]/100</f>
        <v>2095.3785451499998</v>
      </c>
    </row>
    <row r="191" spans="1:10" ht="21.75" customHeight="1" x14ac:dyDescent="0.25">
      <c r="A191" s="16">
        <f t="shared" si="7"/>
        <v>46086</v>
      </c>
      <c r="B191" t="s">
        <v>18</v>
      </c>
      <c r="C191">
        <v>9.7100000000000009</v>
      </c>
      <c r="D191" s="2">
        <v>4368633</v>
      </c>
      <c r="E191">
        <v>14.49</v>
      </c>
      <c r="F191">
        <v>60</v>
      </c>
      <c r="G191" s="2">
        <v>3172525</v>
      </c>
      <c r="H191" s="2">
        <f>T2_Daily_Feed_Req[[#This Row],[Weekly ABW (g)]]*T2_Daily_Feed_Req[[#This Row],[Latest Pop Count]]/1000</f>
        <v>45969.88725</v>
      </c>
      <c r="I191">
        <f>VLOOKUP(T2_Daily_Feed_Req[[#This Row],[Weekly ABW (g)]],MAIN!$A$2:$B$10,2,TRUE)</f>
        <v>4.5</v>
      </c>
      <c r="J191" s="2">
        <f>T2_Daily_Feed_Req[[#This Row],[Current Biomass (kg)]]*T2_Daily_Feed_Req[[#This Row],[Calc Feed Rate (%)]]/100</f>
        <v>2068.64492625</v>
      </c>
    </row>
    <row r="192" spans="1:10" ht="21.75" customHeight="1" x14ac:dyDescent="0.25">
      <c r="A192" s="16">
        <f t="shared" si="7"/>
        <v>46087</v>
      </c>
      <c r="B192" t="s">
        <v>20</v>
      </c>
      <c r="C192">
        <v>9.02</v>
      </c>
      <c r="D192" s="2">
        <v>4059263</v>
      </c>
      <c r="E192">
        <v>15.44</v>
      </c>
      <c r="F192">
        <v>60</v>
      </c>
      <c r="G192" s="2">
        <v>1975460</v>
      </c>
      <c r="H192" s="2">
        <f>T2_Daily_Feed_Req[[#This Row],[Weekly ABW (g)]]*T2_Daily_Feed_Req[[#This Row],[Latest Pop Count]]/1000</f>
        <v>30501.1024</v>
      </c>
      <c r="I192">
        <f>VLOOKUP(T2_Daily_Feed_Req[[#This Row],[Weekly ABW (g)]],MAIN!$A$2:$B$10,2,TRUE)</f>
        <v>3.8</v>
      </c>
      <c r="J192" s="2">
        <f>T2_Daily_Feed_Req[[#This Row],[Current Biomass (kg)]]*T2_Daily_Feed_Req[[#This Row],[Calc Feed Rate (%)]]/100</f>
        <v>1159.0418912</v>
      </c>
    </row>
    <row r="193" spans="1:10" ht="21.75" customHeight="1" x14ac:dyDescent="0.25">
      <c r="A193" s="16">
        <f t="shared" si="7"/>
        <v>46087</v>
      </c>
      <c r="B193" t="s">
        <v>21</v>
      </c>
      <c r="C193">
        <v>9.9700000000000006</v>
      </c>
      <c r="D193" s="2">
        <v>4486459</v>
      </c>
      <c r="E193">
        <v>15.27</v>
      </c>
      <c r="F193">
        <v>60</v>
      </c>
      <c r="G193" s="2">
        <v>3252712</v>
      </c>
      <c r="H193" s="2">
        <f>T2_Daily_Feed_Req[[#This Row],[Weekly ABW (g)]]*T2_Daily_Feed_Req[[#This Row],[Latest Pop Count]]/1000</f>
        <v>49668.912240000005</v>
      </c>
      <c r="I193">
        <f>VLOOKUP(T2_Daily_Feed_Req[[#This Row],[Weekly ABW (g)]],MAIN!$A$2:$B$10,2,TRUE)</f>
        <v>3.8</v>
      </c>
      <c r="J193" s="2">
        <f>T2_Daily_Feed_Req[[#This Row],[Current Biomass (kg)]]*T2_Daily_Feed_Req[[#This Row],[Calc Feed Rate (%)]]/100</f>
        <v>1887.41866512</v>
      </c>
    </row>
    <row r="194" spans="1:10" ht="21.75" customHeight="1" x14ac:dyDescent="0.25">
      <c r="A194" s="16">
        <f t="shared" si="7"/>
        <v>46087</v>
      </c>
      <c r="B194" t="s">
        <v>22</v>
      </c>
      <c r="C194">
        <v>9.83</v>
      </c>
      <c r="D194" s="2">
        <v>4424599</v>
      </c>
      <c r="E194">
        <v>16.100000000000001</v>
      </c>
      <c r="F194">
        <v>60</v>
      </c>
      <c r="G194" s="2">
        <v>3243933</v>
      </c>
      <c r="H194" s="2">
        <f>T2_Daily_Feed_Req[[#This Row],[Weekly ABW (g)]]*T2_Daily_Feed_Req[[#This Row],[Latest Pop Count]]/1000</f>
        <v>52227.321300000003</v>
      </c>
      <c r="I194">
        <f>VLOOKUP(T2_Daily_Feed_Req[[#This Row],[Weekly ABW (g)]],MAIN!$A$2:$B$10,2,TRUE)</f>
        <v>3.8</v>
      </c>
      <c r="J194" s="2">
        <f>T2_Daily_Feed_Req[[#This Row],[Current Biomass (kg)]]*T2_Daily_Feed_Req[[#This Row],[Calc Feed Rate (%)]]/100</f>
        <v>1984.6382094000001</v>
      </c>
    </row>
    <row r="195" spans="1:10" ht="21.75" customHeight="1" x14ac:dyDescent="0.25">
      <c r="A195" s="16">
        <f t="shared" si="7"/>
        <v>46087</v>
      </c>
      <c r="B195" t="s">
        <v>23</v>
      </c>
      <c r="C195">
        <v>9.2100000000000009</v>
      </c>
      <c r="D195" s="2">
        <v>4145553</v>
      </c>
      <c r="E195">
        <v>16.72</v>
      </c>
      <c r="F195">
        <v>60</v>
      </c>
      <c r="G195" s="2">
        <v>1593700</v>
      </c>
      <c r="H195" s="2">
        <f>T2_Daily_Feed_Req[[#This Row],[Weekly ABW (g)]]*T2_Daily_Feed_Req[[#This Row],[Latest Pop Count]]/1000</f>
        <v>26646.664000000001</v>
      </c>
      <c r="I195">
        <f>VLOOKUP(T2_Daily_Feed_Req[[#This Row],[Weekly ABW (g)]],MAIN!$A$2:$B$10,2,TRUE)</f>
        <v>3.8</v>
      </c>
      <c r="J195" s="2">
        <f>T2_Daily_Feed_Req[[#This Row],[Current Biomass (kg)]]*T2_Daily_Feed_Req[[#This Row],[Calc Feed Rate (%)]]/100</f>
        <v>1012.573232</v>
      </c>
    </row>
    <row r="196" spans="1:10" ht="21.75" customHeight="1" x14ac:dyDescent="0.25">
      <c r="A196" s="16">
        <f t="shared" si="7"/>
        <v>46087</v>
      </c>
      <c r="B196" t="s">
        <v>24</v>
      </c>
      <c r="C196">
        <v>9.18</v>
      </c>
      <c r="D196" s="2">
        <v>4131821</v>
      </c>
      <c r="E196">
        <v>15.98</v>
      </c>
      <c r="F196">
        <v>60</v>
      </c>
      <c r="G196" s="2">
        <v>2994795</v>
      </c>
      <c r="H196" s="2">
        <f>T2_Daily_Feed_Req[[#This Row],[Weekly ABW (g)]]*T2_Daily_Feed_Req[[#This Row],[Latest Pop Count]]/1000</f>
        <v>47856.824099999998</v>
      </c>
      <c r="I196">
        <f>VLOOKUP(T2_Daily_Feed_Req[[#This Row],[Weekly ABW (g)]],MAIN!$A$2:$B$10,2,TRUE)</f>
        <v>3.8</v>
      </c>
      <c r="J196" s="2">
        <f>T2_Daily_Feed_Req[[#This Row],[Current Biomass (kg)]]*T2_Daily_Feed_Req[[#This Row],[Calc Feed Rate (%)]]/100</f>
        <v>1818.5593157999997</v>
      </c>
    </row>
    <row r="197" spans="1:10" ht="21.75" customHeight="1" x14ac:dyDescent="0.25">
      <c r="A197" s="16">
        <f t="shared" si="7"/>
        <v>46088</v>
      </c>
      <c r="B197" t="s">
        <v>26</v>
      </c>
      <c r="C197">
        <v>9.18</v>
      </c>
      <c r="D197" s="2">
        <v>4132532</v>
      </c>
      <c r="E197">
        <v>17.440000000000001</v>
      </c>
      <c r="F197">
        <v>60</v>
      </c>
      <c r="G197" s="2">
        <v>3009333</v>
      </c>
      <c r="H197" s="2">
        <f>T2_Daily_Feed_Req[[#This Row],[Weekly ABW (g)]]*T2_Daily_Feed_Req[[#This Row],[Latest Pop Count]]/1000</f>
        <v>52482.767520000001</v>
      </c>
      <c r="I197">
        <f>VLOOKUP(T2_Daily_Feed_Req[[#This Row],[Weekly ABW (g)]],MAIN!$A$2:$B$10,2,TRUE)</f>
        <v>3.8</v>
      </c>
      <c r="J197" s="2">
        <f>T2_Daily_Feed_Req[[#This Row],[Current Biomass (kg)]]*T2_Daily_Feed_Req[[#This Row],[Calc Feed Rate (%)]]/100</f>
        <v>1994.3451657599999</v>
      </c>
    </row>
    <row r="198" spans="1:10" ht="21.75" customHeight="1" x14ac:dyDescent="0.25">
      <c r="A198" s="16">
        <f t="shared" si="7"/>
        <v>46088</v>
      </c>
      <c r="B198" t="s">
        <v>27</v>
      </c>
      <c r="C198">
        <v>9.3000000000000007</v>
      </c>
      <c r="D198" s="2">
        <v>4186909</v>
      </c>
      <c r="E198">
        <v>14.34</v>
      </c>
      <c r="F198">
        <v>60</v>
      </c>
      <c r="G198" s="2">
        <v>3028322</v>
      </c>
      <c r="H198" s="2">
        <f>T2_Daily_Feed_Req[[#This Row],[Weekly ABW (g)]]*T2_Daily_Feed_Req[[#This Row],[Latest Pop Count]]/1000</f>
        <v>43426.137479999998</v>
      </c>
      <c r="I198">
        <f>VLOOKUP(T2_Daily_Feed_Req[[#This Row],[Weekly ABW (g)]],MAIN!$A$2:$B$10,2,TRUE)</f>
        <v>4.5</v>
      </c>
      <c r="J198" s="2">
        <f>T2_Daily_Feed_Req[[#This Row],[Current Biomass (kg)]]*T2_Daily_Feed_Req[[#This Row],[Calc Feed Rate (%)]]/100</f>
        <v>1954.1761865999997</v>
      </c>
    </row>
    <row r="199" spans="1:10" ht="21.75" customHeight="1" x14ac:dyDescent="0.25">
      <c r="A199" s="16">
        <f t="shared" si="7"/>
        <v>46088</v>
      </c>
      <c r="B199" t="s">
        <v>28</v>
      </c>
      <c r="C199">
        <v>9.52</v>
      </c>
      <c r="D199" s="2">
        <v>4286140</v>
      </c>
      <c r="E199">
        <v>13.12</v>
      </c>
      <c r="F199">
        <v>60</v>
      </c>
      <c r="G199" s="2">
        <v>3122342</v>
      </c>
      <c r="H199" s="2">
        <f>T2_Daily_Feed_Req[[#This Row],[Weekly ABW (g)]]*T2_Daily_Feed_Req[[#This Row],[Latest Pop Count]]/1000</f>
        <v>40965.127039999999</v>
      </c>
      <c r="I199">
        <f>VLOOKUP(T2_Daily_Feed_Req[[#This Row],[Weekly ABW (g)]],MAIN!$A$2:$B$10,2,TRUE)</f>
        <v>4.5</v>
      </c>
      <c r="J199" s="2">
        <f>T2_Daily_Feed_Req[[#This Row],[Current Biomass (kg)]]*T2_Daily_Feed_Req[[#This Row],[Calc Feed Rate (%)]]/100</f>
        <v>1843.4307168</v>
      </c>
    </row>
    <row r="200" spans="1:10" ht="21.75" customHeight="1" x14ac:dyDescent="0.25">
      <c r="A200" s="16">
        <f t="shared" si="7"/>
        <v>46088</v>
      </c>
      <c r="B200" t="s">
        <v>29</v>
      </c>
      <c r="C200">
        <v>9.43</v>
      </c>
      <c r="D200" s="2">
        <v>4244375</v>
      </c>
      <c r="E200">
        <v>17.32</v>
      </c>
      <c r="F200">
        <v>60</v>
      </c>
      <c r="G200" s="2">
        <v>2056375</v>
      </c>
      <c r="H200" s="2">
        <f>T2_Daily_Feed_Req[[#This Row],[Weekly ABW (g)]]*T2_Daily_Feed_Req[[#This Row],[Latest Pop Count]]/1000</f>
        <v>35616.415000000001</v>
      </c>
      <c r="I200">
        <f>VLOOKUP(T2_Daily_Feed_Req[[#This Row],[Weekly ABW (g)]],MAIN!$A$2:$B$10,2,TRUE)</f>
        <v>3.8</v>
      </c>
      <c r="J200" s="2">
        <f>T2_Daily_Feed_Req[[#This Row],[Current Biomass (kg)]]*T2_Daily_Feed_Req[[#This Row],[Calc Feed Rate (%)]]/100</f>
        <v>1353.4237700000001</v>
      </c>
    </row>
    <row r="201" spans="1:10" ht="21.75" customHeight="1" x14ac:dyDescent="0.25">
      <c r="A201" s="16">
        <f t="shared" si="7"/>
        <v>46088</v>
      </c>
      <c r="B201" t="s">
        <v>30</v>
      </c>
      <c r="C201">
        <v>9.2899999999999991</v>
      </c>
      <c r="D201" s="2">
        <v>4181053</v>
      </c>
      <c r="E201">
        <v>14.32</v>
      </c>
      <c r="F201">
        <v>60</v>
      </c>
      <c r="G201" s="2">
        <v>3040339</v>
      </c>
      <c r="H201" s="2">
        <f>T2_Daily_Feed_Req[[#This Row],[Weekly ABW (g)]]*T2_Daily_Feed_Req[[#This Row],[Latest Pop Count]]/1000</f>
        <v>43537.654480000005</v>
      </c>
      <c r="I201">
        <f>VLOOKUP(T2_Daily_Feed_Req[[#This Row],[Weekly ABW (g)]],MAIN!$A$2:$B$10,2,TRUE)</f>
        <v>4.5</v>
      </c>
      <c r="J201" s="2">
        <f>T2_Daily_Feed_Req[[#This Row],[Current Biomass (kg)]]*T2_Daily_Feed_Req[[#This Row],[Calc Feed Rate (%)]]/100</f>
        <v>1959.1944516000003</v>
      </c>
    </row>
  </sheetData>
  <phoneticPr fontId="5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181"/>
  <sheetViews>
    <sheetView workbookViewId="0">
      <selection activeCell="D2" sqref="D2"/>
    </sheetView>
  </sheetViews>
  <sheetFormatPr defaultRowHeight="15" x14ac:dyDescent="0.25"/>
  <cols>
    <col min="1" max="1" width="12.42578125" bestFit="1" customWidth="1"/>
    <col min="2" max="2" width="18.28515625" bestFit="1" customWidth="1"/>
    <col min="3" max="3" width="21.5703125" bestFit="1" customWidth="1"/>
    <col min="4" max="4" width="14.5703125" bestFit="1" customWidth="1"/>
    <col min="5" max="5" width="16.5703125" bestFit="1" customWidth="1"/>
    <col min="6" max="6" width="18" bestFit="1" customWidth="1"/>
    <col min="7" max="7" width="22.85546875" bestFit="1" customWidth="1"/>
    <col min="9" max="9" width="11" bestFit="1" customWidth="1"/>
  </cols>
  <sheetData>
    <row r="1" spans="1:9" s="11" customFormat="1" ht="30" customHeight="1" x14ac:dyDescent="0.25">
      <c r="A1" s="9" t="s">
        <v>1</v>
      </c>
      <c r="B1" s="9" t="s">
        <v>36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35</v>
      </c>
    </row>
    <row r="2" spans="1:9" ht="24" customHeight="1" x14ac:dyDescent="0.25">
      <c r="A2" t="s">
        <v>8</v>
      </c>
      <c r="B2">
        <v>7</v>
      </c>
      <c r="C2">
        <v>4.33</v>
      </c>
      <c r="D2" s="2">
        <v>3120637</v>
      </c>
      <c r="E2" s="2">
        <f>T5_Weekly_Feed_Calc[[#This Row],[Pop Count]]*T5_Weekly_Feed_Calc[[#This Row],[Sampling ABW (g)]]/1000</f>
        <v>13512.35821</v>
      </c>
      <c r="F2" s="8">
        <f>VLOOKUP(T5_Weekly_Feed_Calc[[#This Row],[Sampling ABW (g)]],MAIN!$A$2:$B$10,2,TRUE)</f>
        <v>7</v>
      </c>
      <c r="G2" s="2">
        <f>T5_Weekly_Feed_Calc[[#This Row],[Biomass (kg)]]*T5_Weekly_Feed_Calc[[#This Row],[Feed Rate (%)]]/100</f>
        <v>945.86507469999992</v>
      </c>
      <c r="I2" s="3"/>
    </row>
    <row r="3" spans="1:9" ht="24" customHeight="1" x14ac:dyDescent="0.25">
      <c r="A3" t="s">
        <v>9</v>
      </c>
      <c r="B3">
        <v>7</v>
      </c>
      <c r="C3">
        <v>3.72</v>
      </c>
      <c r="D3" s="2">
        <v>3334632</v>
      </c>
      <c r="E3" s="2">
        <v>16351.86</v>
      </c>
      <c r="F3" s="1">
        <f>VLOOKUP(T5_Weekly_Feed_Calc[[#This Row],[Sampling ABW (g)]],MAIN!$A$2:$B$10,2,TRUE)</f>
        <v>7</v>
      </c>
      <c r="G3" s="2">
        <f>T5_Weekly_Feed_Calc[[#This Row],[Biomass (kg)]]*T5_Weekly_Feed_Calc[[#This Row],[Feed Rate (%)]]/100</f>
        <v>1144.6302000000001</v>
      </c>
    </row>
    <row r="4" spans="1:9" ht="24" customHeight="1" x14ac:dyDescent="0.25">
      <c r="A4" t="s">
        <v>10</v>
      </c>
      <c r="B4">
        <v>7</v>
      </c>
      <c r="C4">
        <v>3.62</v>
      </c>
      <c r="D4" s="2">
        <v>3244520</v>
      </c>
      <c r="E4" s="2">
        <v>15699.17</v>
      </c>
      <c r="F4" s="8">
        <f>VLOOKUP(T5_Weekly_Feed_Calc[[#This Row],[Sampling ABW (g)]],MAIN!$A$2:$B$10,2,TRUE)</f>
        <v>7</v>
      </c>
      <c r="G4" s="2">
        <f>T5_Weekly_Feed_Calc[[#This Row],[Biomass (kg)]]*T5_Weekly_Feed_Calc[[#This Row],[Feed Rate (%)]]/100</f>
        <v>1098.9419</v>
      </c>
    </row>
    <row r="5" spans="1:9" ht="24" customHeight="1" x14ac:dyDescent="0.25">
      <c r="A5" t="s">
        <v>11</v>
      </c>
      <c r="B5">
        <v>7</v>
      </c>
      <c r="C5">
        <v>4.55</v>
      </c>
      <c r="D5" s="2">
        <v>2352841</v>
      </c>
      <c r="E5" s="2">
        <v>19306.87</v>
      </c>
      <c r="F5" s="8">
        <f>VLOOKUP(T5_Weekly_Feed_Calc[[#This Row],[Sampling ABW (g)]],MAIN!$A$2:$B$10,2,TRUE)</f>
        <v>7</v>
      </c>
      <c r="G5" s="2">
        <f>T5_Weekly_Feed_Calc[[#This Row],[Biomass (kg)]]*T5_Weekly_Feed_Calc[[#This Row],[Feed Rate (%)]]/100</f>
        <v>1351.4809</v>
      </c>
    </row>
    <row r="6" spans="1:9" ht="24" customHeight="1" x14ac:dyDescent="0.25">
      <c r="A6" t="s">
        <v>12</v>
      </c>
      <c r="B6">
        <v>7</v>
      </c>
      <c r="C6">
        <v>4.1500000000000004</v>
      </c>
      <c r="D6" s="2">
        <v>3072116</v>
      </c>
      <c r="E6" s="2">
        <v>16747.43</v>
      </c>
      <c r="F6" s="8">
        <f>VLOOKUP(T5_Weekly_Feed_Calc[[#This Row],[Sampling ABW (g)]],MAIN!$A$2:$B$10,2,TRUE)</f>
        <v>7</v>
      </c>
      <c r="G6" s="2">
        <f>T5_Weekly_Feed_Calc[[#This Row],[Biomass (kg)]]*T5_Weekly_Feed_Calc[[#This Row],[Feed Rate (%)]]/100</f>
        <v>1172.3201000000001</v>
      </c>
    </row>
    <row r="7" spans="1:9" ht="24" customHeight="1" x14ac:dyDescent="0.25">
      <c r="A7" t="s">
        <v>14</v>
      </c>
      <c r="B7">
        <v>7</v>
      </c>
      <c r="C7">
        <v>5.17</v>
      </c>
      <c r="D7" s="2">
        <v>2064710</v>
      </c>
      <c r="E7" s="2">
        <v>20986.37</v>
      </c>
      <c r="F7" s="8">
        <f>VLOOKUP(T5_Weekly_Feed_Calc[[#This Row],[Sampling ABW (g)]],MAIN!$A$2:$B$10,2,TRUE)</f>
        <v>5.5</v>
      </c>
      <c r="G7" s="2">
        <f>T5_Weekly_Feed_Calc[[#This Row],[Biomass (kg)]]*T5_Weekly_Feed_Calc[[#This Row],[Feed Rate (%)]]/100</f>
        <v>1154.2503499999998</v>
      </c>
    </row>
    <row r="8" spans="1:9" ht="24" customHeight="1" x14ac:dyDescent="0.25">
      <c r="A8" t="s">
        <v>15</v>
      </c>
      <c r="B8">
        <v>7</v>
      </c>
      <c r="C8">
        <v>3.68</v>
      </c>
      <c r="D8" s="2">
        <v>1951969</v>
      </c>
      <c r="E8" s="2">
        <v>14667.01</v>
      </c>
      <c r="F8" s="8">
        <f>VLOOKUP(T5_Weekly_Feed_Calc[[#This Row],[Sampling ABW (g)]],MAIN!$A$2:$B$10,2,TRUE)</f>
        <v>7</v>
      </c>
      <c r="G8" s="2">
        <f>T5_Weekly_Feed_Calc[[#This Row],[Biomass (kg)]]*T5_Weekly_Feed_Calc[[#This Row],[Feed Rate (%)]]/100</f>
        <v>1026.6907000000001</v>
      </c>
    </row>
    <row r="9" spans="1:9" ht="24" customHeight="1" x14ac:dyDescent="0.25">
      <c r="A9" t="s">
        <v>16</v>
      </c>
      <c r="B9">
        <v>7</v>
      </c>
      <c r="C9">
        <v>4.5</v>
      </c>
      <c r="D9" s="2">
        <v>2351740</v>
      </c>
      <c r="E9" s="2">
        <v>19784.810000000001</v>
      </c>
      <c r="F9" s="8">
        <f>VLOOKUP(T5_Weekly_Feed_Calc[[#This Row],[Sampling ABW (g)]],MAIN!$A$2:$B$10,2,TRUE)</f>
        <v>7</v>
      </c>
      <c r="G9" s="2">
        <f>T5_Weekly_Feed_Calc[[#This Row],[Biomass (kg)]]*T5_Weekly_Feed_Calc[[#This Row],[Feed Rate (%)]]/100</f>
        <v>1384.9367000000002</v>
      </c>
    </row>
    <row r="10" spans="1:9" ht="24" customHeight="1" x14ac:dyDescent="0.25">
      <c r="A10" t="s">
        <v>17</v>
      </c>
      <c r="B10">
        <v>7</v>
      </c>
      <c r="C10">
        <v>4.68</v>
      </c>
      <c r="D10" s="2">
        <v>3198674</v>
      </c>
      <c r="E10" s="2">
        <v>19731.39</v>
      </c>
      <c r="F10" s="8">
        <f>VLOOKUP(T5_Weekly_Feed_Calc[[#This Row],[Sampling ABW (g)]],MAIN!$A$2:$B$10,2,TRUE)</f>
        <v>7</v>
      </c>
      <c r="G10" s="2">
        <f>T5_Weekly_Feed_Calc[[#This Row],[Biomass (kg)]]*T5_Weekly_Feed_Calc[[#This Row],[Feed Rate (%)]]/100</f>
        <v>1381.1972999999998</v>
      </c>
    </row>
    <row r="11" spans="1:9" ht="24" customHeight="1" x14ac:dyDescent="0.25">
      <c r="A11" t="s">
        <v>18</v>
      </c>
      <c r="B11">
        <v>7</v>
      </c>
      <c r="C11">
        <v>3.26</v>
      </c>
      <c r="D11" s="2">
        <v>3236070</v>
      </c>
      <c r="E11" s="2">
        <v>14163.63</v>
      </c>
      <c r="F11" s="8">
        <f>VLOOKUP(T5_Weekly_Feed_Calc[[#This Row],[Sampling ABW (g)]],MAIN!$A$2:$B$10,2,TRUE)</f>
        <v>7</v>
      </c>
      <c r="G11" s="2">
        <f>T5_Weekly_Feed_Calc[[#This Row],[Biomass (kg)]]*T5_Weekly_Feed_Calc[[#This Row],[Feed Rate (%)]]/100</f>
        <v>991.45409999999993</v>
      </c>
    </row>
    <row r="12" spans="1:9" ht="24" customHeight="1" x14ac:dyDescent="0.25">
      <c r="A12" t="s">
        <v>20</v>
      </c>
      <c r="B12">
        <v>7</v>
      </c>
      <c r="C12">
        <v>5.09</v>
      </c>
      <c r="D12" s="2">
        <v>2148969</v>
      </c>
      <c r="E12" s="2">
        <v>20455.04</v>
      </c>
      <c r="F12" s="8">
        <f>VLOOKUP(T5_Weekly_Feed_Calc[[#This Row],[Sampling ABW (g)]],MAIN!$A$2:$B$10,2,TRUE)</f>
        <v>5.5</v>
      </c>
      <c r="G12" s="2">
        <f>T5_Weekly_Feed_Calc[[#This Row],[Biomass (kg)]]*T5_Weekly_Feed_Calc[[#This Row],[Feed Rate (%)]]/100</f>
        <v>1125.0272</v>
      </c>
    </row>
    <row r="13" spans="1:9" ht="24" customHeight="1" x14ac:dyDescent="0.25">
      <c r="A13" t="s">
        <v>21</v>
      </c>
      <c r="B13">
        <v>7</v>
      </c>
      <c r="C13">
        <v>4.04</v>
      </c>
      <c r="D13" s="2">
        <v>3358270</v>
      </c>
      <c r="E13" s="2">
        <v>17738.349999999999</v>
      </c>
      <c r="F13" s="8">
        <f>VLOOKUP(T5_Weekly_Feed_Calc[[#This Row],[Sampling ABW (g)]],MAIN!$A$2:$B$10,2,TRUE)</f>
        <v>7</v>
      </c>
      <c r="G13" s="2">
        <f>T5_Weekly_Feed_Calc[[#This Row],[Biomass (kg)]]*T5_Weekly_Feed_Calc[[#This Row],[Feed Rate (%)]]/100</f>
        <v>1241.6844999999998</v>
      </c>
    </row>
    <row r="14" spans="1:9" ht="24" customHeight="1" x14ac:dyDescent="0.25">
      <c r="A14" t="s">
        <v>22</v>
      </c>
      <c r="B14">
        <v>7</v>
      </c>
      <c r="C14">
        <v>3.98</v>
      </c>
      <c r="D14" s="2">
        <v>3301985</v>
      </c>
      <c r="E14" s="2">
        <v>17152.84</v>
      </c>
      <c r="F14" s="8">
        <f>VLOOKUP(T5_Weekly_Feed_Calc[[#This Row],[Sampling ABW (g)]],MAIN!$A$2:$B$10,2,TRUE)</f>
        <v>7</v>
      </c>
      <c r="G14" s="2">
        <f>T5_Weekly_Feed_Calc[[#This Row],[Biomass (kg)]]*T5_Weekly_Feed_Calc[[#This Row],[Feed Rate (%)]]/100</f>
        <v>1200.6988000000001</v>
      </c>
    </row>
    <row r="15" spans="1:9" ht="24" customHeight="1" x14ac:dyDescent="0.25">
      <c r="A15" t="s">
        <v>23</v>
      </c>
      <c r="B15">
        <v>7</v>
      </c>
      <c r="C15">
        <v>5.7</v>
      </c>
      <c r="D15" s="2">
        <v>1835964</v>
      </c>
      <c r="E15" s="2">
        <v>23437.09</v>
      </c>
      <c r="F15" s="8">
        <f>VLOOKUP(T5_Weekly_Feed_Calc[[#This Row],[Sampling ABW (g)]],MAIN!$A$2:$B$10,2,TRUE)</f>
        <v>5.5</v>
      </c>
      <c r="G15" s="2">
        <f>T5_Weekly_Feed_Calc[[#This Row],[Biomass (kg)]]*T5_Weekly_Feed_Calc[[#This Row],[Feed Rate (%)]]/100</f>
        <v>1289.0399499999999</v>
      </c>
    </row>
    <row r="16" spans="1:9" ht="24" customHeight="1" x14ac:dyDescent="0.25">
      <c r="A16" t="s">
        <v>24</v>
      </c>
      <c r="B16">
        <v>7</v>
      </c>
      <c r="C16">
        <v>5.47</v>
      </c>
      <c r="D16" s="2">
        <v>3074991</v>
      </c>
      <c r="E16" s="2">
        <v>22352.99</v>
      </c>
      <c r="F16" s="8">
        <f>VLOOKUP(T5_Weekly_Feed_Calc[[#This Row],[Sampling ABW (g)]],MAIN!$A$2:$B$10,2,TRUE)</f>
        <v>5.5</v>
      </c>
      <c r="G16" s="2">
        <f>T5_Weekly_Feed_Calc[[#This Row],[Biomass (kg)]]*T5_Weekly_Feed_Calc[[#This Row],[Feed Rate (%)]]/100</f>
        <v>1229.41445</v>
      </c>
    </row>
    <row r="17" spans="1:7" ht="24" customHeight="1" x14ac:dyDescent="0.25">
      <c r="A17" t="s">
        <v>26</v>
      </c>
      <c r="B17">
        <v>7</v>
      </c>
      <c r="C17">
        <v>5.45</v>
      </c>
      <c r="D17" s="2">
        <v>3069378</v>
      </c>
      <c r="E17" s="2">
        <v>22273.23</v>
      </c>
      <c r="F17" s="8">
        <f>VLOOKUP(T5_Weekly_Feed_Calc[[#This Row],[Sampling ABW (g)]],MAIN!$A$2:$B$10,2,TRUE)</f>
        <v>5.5</v>
      </c>
      <c r="G17" s="2">
        <f>T5_Weekly_Feed_Calc[[#This Row],[Biomass (kg)]]*T5_Weekly_Feed_Calc[[#This Row],[Feed Rate (%)]]/100</f>
        <v>1225.02765</v>
      </c>
    </row>
    <row r="18" spans="1:7" ht="24" customHeight="1" x14ac:dyDescent="0.25">
      <c r="A18" t="s">
        <v>27</v>
      </c>
      <c r="B18">
        <v>7</v>
      </c>
      <c r="C18">
        <v>3.69</v>
      </c>
      <c r="D18" s="2">
        <v>3098936</v>
      </c>
      <c r="E18" s="2">
        <v>15297.09</v>
      </c>
      <c r="F18" s="8">
        <f>VLOOKUP(T5_Weekly_Feed_Calc[[#This Row],[Sampling ABW (g)]],MAIN!$A$2:$B$10,2,TRUE)</f>
        <v>7</v>
      </c>
      <c r="G18" s="2">
        <f>T5_Weekly_Feed_Calc[[#This Row],[Biomass (kg)]]*T5_Weekly_Feed_Calc[[#This Row],[Feed Rate (%)]]/100</f>
        <v>1070.7963</v>
      </c>
    </row>
    <row r="19" spans="1:7" ht="24" customHeight="1" x14ac:dyDescent="0.25">
      <c r="A19" t="s">
        <v>28</v>
      </c>
      <c r="B19">
        <v>7</v>
      </c>
      <c r="C19">
        <v>3.37</v>
      </c>
      <c r="D19" s="2">
        <v>3192994</v>
      </c>
      <c r="E19" s="2">
        <v>14111.81</v>
      </c>
      <c r="F19" s="8">
        <f>VLOOKUP(T5_Weekly_Feed_Calc[[#This Row],[Sampling ABW (g)]],MAIN!$A$2:$B$10,2,TRUE)</f>
        <v>7</v>
      </c>
      <c r="G19" s="2">
        <f>T5_Weekly_Feed_Calc[[#This Row],[Biomass (kg)]]*T5_Weekly_Feed_Calc[[#This Row],[Feed Rate (%)]]/100</f>
        <v>987.82669999999996</v>
      </c>
    </row>
    <row r="20" spans="1:7" ht="24" customHeight="1" x14ac:dyDescent="0.25">
      <c r="A20" t="s">
        <v>29</v>
      </c>
      <c r="B20">
        <v>7</v>
      </c>
      <c r="C20">
        <v>4.41</v>
      </c>
      <c r="D20" s="2">
        <v>2361338</v>
      </c>
      <c r="E20" s="2">
        <v>18380.490000000002</v>
      </c>
      <c r="F20" s="8">
        <f>VLOOKUP(T5_Weekly_Feed_Calc[[#This Row],[Sampling ABW (g)]],MAIN!$A$2:$B$10,2,TRUE)</f>
        <v>7</v>
      </c>
      <c r="G20" s="2">
        <f>T5_Weekly_Feed_Calc[[#This Row],[Biomass (kg)]]*T5_Weekly_Feed_Calc[[#This Row],[Feed Rate (%)]]/100</f>
        <v>1286.6343000000002</v>
      </c>
    </row>
    <row r="21" spans="1:7" ht="24" customHeight="1" x14ac:dyDescent="0.25">
      <c r="A21" t="s">
        <v>30</v>
      </c>
      <c r="B21">
        <v>7</v>
      </c>
      <c r="C21">
        <v>4.17</v>
      </c>
      <c r="D21" s="2">
        <v>3105252</v>
      </c>
      <c r="E21" s="2">
        <v>17052.2</v>
      </c>
      <c r="F21" s="8">
        <f>VLOOKUP(T5_Weekly_Feed_Calc[[#This Row],[Sampling ABW (g)]],MAIN!$A$2:$B$10,2,TRUE)</f>
        <v>7</v>
      </c>
      <c r="G21" s="2">
        <f>T5_Weekly_Feed_Calc[[#This Row],[Biomass (kg)]]*T5_Weekly_Feed_Calc[[#This Row],[Feed Rate (%)]]/100</f>
        <v>1193.654</v>
      </c>
    </row>
    <row r="22" spans="1:7" ht="24" customHeight="1" x14ac:dyDescent="0.25">
      <c r="A22" t="s">
        <v>8</v>
      </c>
      <c r="B22">
        <v>14</v>
      </c>
      <c r="C22">
        <v>5.36</v>
      </c>
      <c r="D22" s="2">
        <v>3115603</v>
      </c>
      <c r="E22" s="2">
        <f>T5_Weekly_Feed_Calc[[#This Row],[Pop Count]]*T5_Weekly_Feed_Calc[[#This Row],[Sampling ABW (g)]]/1000</f>
        <v>16699.632079999999</v>
      </c>
      <c r="F22" s="8">
        <f>VLOOKUP(T5_Weekly_Feed_Calc[[#This Row],[Sampling ABW (g)]],MAIN!$A$2:$B$10,2,TRUE)</f>
        <v>5.5</v>
      </c>
      <c r="G22" s="2">
        <f>T5_Weekly_Feed_Calc[[#This Row],[Biomass (kg)]]*T5_Weekly_Feed_Calc[[#This Row],[Feed Rate (%)]]/100</f>
        <v>918.47976440000002</v>
      </c>
    </row>
    <row r="23" spans="1:7" ht="24" customHeight="1" x14ac:dyDescent="0.25">
      <c r="A23" t="s">
        <v>9</v>
      </c>
      <c r="B23">
        <v>14</v>
      </c>
      <c r="C23">
        <v>5.3</v>
      </c>
      <c r="D23" s="2">
        <v>3319447</v>
      </c>
      <c r="E23" s="2">
        <v>23091.98</v>
      </c>
      <c r="F23" s="8">
        <f>VLOOKUP(T5_Weekly_Feed_Calc[[#This Row],[Sampling ABW (g)]],MAIN!$A$2:$B$10,2,TRUE)</f>
        <v>5.5</v>
      </c>
      <c r="G23" s="2">
        <f>T5_Weekly_Feed_Calc[[#This Row],[Biomass (kg)]]*T5_Weekly_Feed_Calc[[#This Row],[Feed Rate (%)]]/100</f>
        <v>1270.0589</v>
      </c>
    </row>
    <row r="24" spans="1:7" ht="24" customHeight="1" x14ac:dyDescent="0.25">
      <c r="A24" t="s">
        <v>10</v>
      </c>
      <c r="B24">
        <v>14</v>
      </c>
      <c r="C24">
        <v>4.9000000000000004</v>
      </c>
      <c r="D24" s="2">
        <v>3237188</v>
      </c>
      <c r="E24" s="2">
        <v>20873.78</v>
      </c>
      <c r="F24" s="8">
        <f>VLOOKUP(T5_Weekly_Feed_Calc[[#This Row],[Sampling ABW (g)]],MAIN!$A$2:$B$10,2,TRUE)</f>
        <v>7</v>
      </c>
      <c r="G24" s="2">
        <f>T5_Weekly_Feed_Calc[[#This Row],[Biomass (kg)]]*T5_Weekly_Feed_Calc[[#This Row],[Feed Rate (%)]]/100</f>
        <v>1461.1645999999998</v>
      </c>
    </row>
    <row r="25" spans="1:7" ht="24" customHeight="1" x14ac:dyDescent="0.25">
      <c r="A25" t="s">
        <v>11</v>
      </c>
      <c r="B25">
        <v>14</v>
      </c>
      <c r="C25">
        <v>6.01</v>
      </c>
      <c r="D25" s="2">
        <v>2329789</v>
      </c>
      <c r="E25" s="2">
        <v>24909.66</v>
      </c>
      <c r="F25" s="8">
        <f>VLOOKUP(T5_Weekly_Feed_Calc[[#This Row],[Sampling ABW (g)]],MAIN!$A$2:$B$10,2,TRUE)</f>
        <v>5.5</v>
      </c>
      <c r="G25" s="2">
        <f>T5_Weekly_Feed_Calc[[#This Row],[Biomass (kg)]]*T5_Weekly_Feed_Calc[[#This Row],[Feed Rate (%)]]/100</f>
        <v>1370.0313000000001</v>
      </c>
    </row>
    <row r="26" spans="1:7" ht="24" customHeight="1" x14ac:dyDescent="0.25">
      <c r="A26" t="s">
        <v>12</v>
      </c>
      <c r="B26">
        <v>14</v>
      </c>
      <c r="C26">
        <v>5.96</v>
      </c>
      <c r="D26" s="2">
        <v>3061469</v>
      </c>
      <c r="E26" s="2">
        <v>23595.599999999999</v>
      </c>
      <c r="F26" s="8">
        <f>VLOOKUP(T5_Weekly_Feed_Calc[[#This Row],[Sampling ABW (g)]],MAIN!$A$2:$B$10,2,TRUE)</f>
        <v>5.5</v>
      </c>
      <c r="G26" s="2">
        <f>T5_Weekly_Feed_Calc[[#This Row],[Biomass (kg)]]*T5_Weekly_Feed_Calc[[#This Row],[Feed Rate (%)]]/100</f>
        <v>1297.7579999999998</v>
      </c>
    </row>
    <row r="27" spans="1:7" ht="24" customHeight="1" x14ac:dyDescent="0.25">
      <c r="A27" t="s">
        <v>14</v>
      </c>
      <c r="B27">
        <v>14</v>
      </c>
      <c r="C27">
        <v>6.39</v>
      </c>
      <c r="D27" s="2">
        <v>2028932</v>
      </c>
      <c r="E27" s="2">
        <v>25532.38</v>
      </c>
      <c r="F27" s="8">
        <f>VLOOKUP(T5_Weekly_Feed_Calc[[#This Row],[Sampling ABW (g)]],MAIN!$A$2:$B$10,2,TRUE)</f>
        <v>5.5</v>
      </c>
      <c r="G27" s="2">
        <f>T5_Weekly_Feed_Calc[[#This Row],[Biomass (kg)]]*T5_Weekly_Feed_Calc[[#This Row],[Feed Rate (%)]]/100</f>
        <v>1404.2809</v>
      </c>
    </row>
    <row r="28" spans="1:7" ht="24" customHeight="1" x14ac:dyDescent="0.25">
      <c r="A28" t="s">
        <v>15</v>
      </c>
      <c r="B28">
        <v>14</v>
      </c>
      <c r="C28">
        <v>5.05</v>
      </c>
      <c r="D28" s="2">
        <v>1914623</v>
      </c>
      <c r="E28" s="2">
        <v>19950.97</v>
      </c>
      <c r="F28" s="8">
        <f>VLOOKUP(T5_Weekly_Feed_Calc[[#This Row],[Sampling ABW (g)]],MAIN!$A$2:$B$10,2,TRUE)</f>
        <v>5.5</v>
      </c>
      <c r="G28" s="2">
        <f>T5_Weekly_Feed_Calc[[#This Row],[Biomass (kg)]]*T5_Weekly_Feed_Calc[[#This Row],[Feed Rate (%)]]/100</f>
        <v>1097.3033500000001</v>
      </c>
    </row>
    <row r="29" spans="1:7" ht="24" customHeight="1" x14ac:dyDescent="0.25">
      <c r="A29" t="s">
        <v>16</v>
      </c>
      <c r="B29">
        <v>14</v>
      </c>
      <c r="C29">
        <v>6.18</v>
      </c>
      <c r="D29" s="2">
        <v>2315824</v>
      </c>
      <c r="E29" s="2">
        <v>26965.23</v>
      </c>
      <c r="F29" s="8">
        <f>VLOOKUP(T5_Weekly_Feed_Calc[[#This Row],[Sampling ABW (g)]],MAIN!$A$2:$B$10,2,TRUE)</f>
        <v>5.5</v>
      </c>
      <c r="G29" s="2">
        <f>T5_Weekly_Feed_Calc[[#This Row],[Biomass (kg)]]*T5_Weekly_Feed_Calc[[#This Row],[Feed Rate (%)]]/100</f>
        <v>1483.0876499999999</v>
      </c>
    </row>
    <row r="30" spans="1:7" ht="24" customHeight="1" x14ac:dyDescent="0.25">
      <c r="A30" t="s">
        <v>17</v>
      </c>
      <c r="B30">
        <v>14</v>
      </c>
      <c r="C30">
        <v>5.88</v>
      </c>
      <c r="D30" s="2">
        <v>3182044</v>
      </c>
      <c r="E30" s="2">
        <v>24202.05</v>
      </c>
      <c r="F30" s="8">
        <f>VLOOKUP(T5_Weekly_Feed_Calc[[#This Row],[Sampling ABW (g)]],MAIN!$A$2:$B$10,2,TRUE)</f>
        <v>5.5</v>
      </c>
      <c r="G30" s="2">
        <f>T5_Weekly_Feed_Calc[[#This Row],[Biomass (kg)]]*T5_Weekly_Feed_Calc[[#This Row],[Feed Rate (%)]]/100</f>
        <v>1331.11275</v>
      </c>
    </row>
    <row r="31" spans="1:7" ht="24" customHeight="1" x14ac:dyDescent="0.25">
      <c r="A31" t="s">
        <v>18</v>
      </c>
      <c r="B31">
        <v>14</v>
      </c>
      <c r="C31">
        <v>4.33</v>
      </c>
      <c r="D31" s="2">
        <v>3232163</v>
      </c>
      <c r="E31" s="2">
        <v>18532.23</v>
      </c>
      <c r="F31" s="8">
        <f>VLOOKUP(T5_Weekly_Feed_Calc[[#This Row],[Sampling ABW (g)]],MAIN!$A$2:$B$10,2,TRUE)</f>
        <v>7</v>
      </c>
      <c r="G31" s="2">
        <f>T5_Weekly_Feed_Calc[[#This Row],[Biomass (kg)]]*T5_Weekly_Feed_Calc[[#This Row],[Feed Rate (%)]]/100</f>
        <v>1297.2561000000001</v>
      </c>
    </row>
    <row r="32" spans="1:7" ht="24" customHeight="1" x14ac:dyDescent="0.25">
      <c r="A32" t="s">
        <v>20</v>
      </c>
      <c r="B32">
        <v>14</v>
      </c>
      <c r="C32">
        <v>6.35</v>
      </c>
      <c r="D32" s="2">
        <v>2133384</v>
      </c>
      <c r="E32" s="2">
        <v>25098.94</v>
      </c>
      <c r="F32" s="8">
        <f>VLOOKUP(T5_Weekly_Feed_Calc[[#This Row],[Sampling ABW (g)]],MAIN!$A$2:$B$10,2,TRUE)</f>
        <v>5.5</v>
      </c>
      <c r="G32" s="2">
        <f>T5_Weekly_Feed_Calc[[#This Row],[Biomass (kg)]]*T5_Weekly_Feed_Calc[[#This Row],[Feed Rate (%)]]/100</f>
        <v>1380.4416999999999</v>
      </c>
    </row>
    <row r="33" spans="1:7" ht="24" customHeight="1" x14ac:dyDescent="0.25">
      <c r="A33" t="s">
        <v>21</v>
      </c>
      <c r="B33">
        <v>14</v>
      </c>
      <c r="C33">
        <v>5.18</v>
      </c>
      <c r="D33" s="2">
        <v>3344511</v>
      </c>
      <c r="E33" s="2">
        <v>22299.71</v>
      </c>
      <c r="F33" s="8">
        <f>VLOOKUP(T5_Weekly_Feed_Calc[[#This Row],[Sampling ABW (g)]],MAIN!$A$2:$B$10,2,TRUE)</f>
        <v>5.5</v>
      </c>
      <c r="G33" s="2">
        <f>T5_Weekly_Feed_Calc[[#This Row],[Biomass (kg)]]*T5_Weekly_Feed_Calc[[#This Row],[Feed Rate (%)]]/100</f>
        <v>1226.48405</v>
      </c>
    </row>
    <row r="34" spans="1:7" ht="24" customHeight="1" x14ac:dyDescent="0.25">
      <c r="A34" t="s">
        <v>22</v>
      </c>
      <c r="B34">
        <v>14</v>
      </c>
      <c r="C34">
        <v>5.81</v>
      </c>
      <c r="D34" s="2">
        <v>3294426</v>
      </c>
      <c r="E34" s="2">
        <v>24510.54</v>
      </c>
      <c r="F34" s="8">
        <f>VLOOKUP(T5_Weekly_Feed_Calc[[#This Row],[Sampling ABW (g)]],MAIN!$A$2:$B$10,2,TRUE)</f>
        <v>5.5</v>
      </c>
      <c r="G34" s="2">
        <f>T5_Weekly_Feed_Calc[[#This Row],[Biomass (kg)]]*T5_Weekly_Feed_Calc[[#This Row],[Feed Rate (%)]]/100</f>
        <v>1348.0797</v>
      </c>
    </row>
    <row r="35" spans="1:7" ht="24" customHeight="1" x14ac:dyDescent="0.25">
      <c r="A35" t="s">
        <v>23</v>
      </c>
      <c r="B35">
        <v>14</v>
      </c>
      <c r="C35">
        <v>7.43</v>
      </c>
      <c r="D35" s="2">
        <v>1784665</v>
      </c>
      <c r="E35" s="2">
        <v>29978.31</v>
      </c>
      <c r="F35" s="8">
        <f>VLOOKUP(T5_Weekly_Feed_Calc[[#This Row],[Sampling ABW (g)]],MAIN!$A$2:$B$10,2,TRUE)</f>
        <v>5.5</v>
      </c>
      <c r="G35" s="2">
        <f>T5_Weekly_Feed_Calc[[#This Row],[Biomass (kg)]]*T5_Weekly_Feed_Calc[[#This Row],[Feed Rate (%)]]/100</f>
        <v>1648.8070500000001</v>
      </c>
    </row>
    <row r="36" spans="1:7" ht="24" customHeight="1" x14ac:dyDescent="0.25">
      <c r="A36" t="s">
        <v>24</v>
      </c>
      <c r="B36">
        <v>14</v>
      </c>
      <c r="C36">
        <v>7.04</v>
      </c>
      <c r="D36" s="2">
        <v>3069856</v>
      </c>
      <c r="E36" s="2">
        <v>28593.05</v>
      </c>
      <c r="F36" s="8">
        <f>VLOOKUP(T5_Weekly_Feed_Calc[[#This Row],[Sampling ABW (g)]],MAIN!$A$2:$B$10,2,TRUE)</f>
        <v>5.5</v>
      </c>
      <c r="G36" s="2">
        <f>T5_Weekly_Feed_Calc[[#This Row],[Biomass (kg)]]*T5_Weekly_Feed_Calc[[#This Row],[Feed Rate (%)]]/100</f>
        <v>1572.6177499999999</v>
      </c>
    </row>
    <row r="37" spans="1:7" ht="24" customHeight="1" x14ac:dyDescent="0.25">
      <c r="A37" t="s">
        <v>26</v>
      </c>
      <c r="B37">
        <v>14</v>
      </c>
      <c r="C37">
        <v>7.23</v>
      </c>
      <c r="D37" s="2">
        <v>3066197</v>
      </c>
      <c r="E37" s="2">
        <v>29022.03</v>
      </c>
      <c r="F37" s="8">
        <f>VLOOKUP(T5_Weekly_Feed_Calc[[#This Row],[Sampling ABW (g)]],MAIN!$A$2:$B$10,2,TRUE)</f>
        <v>5.5</v>
      </c>
      <c r="G37" s="2">
        <f>T5_Weekly_Feed_Calc[[#This Row],[Biomass (kg)]]*T5_Weekly_Feed_Calc[[#This Row],[Feed Rate (%)]]/100</f>
        <v>1596.2116499999997</v>
      </c>
    </row>
    <row r="38" spans="1:7" ht="24" customHeight="1" x14ac:dyDescent="0.25">
      <c r="A38" t="s">
        <v>27</v>
      </c>
      <c r="B38">
        <v>14</v>
      </c>
      <c r="C38">
        <v>5.41</v>
      </c>
      <c r="D38" s="2">
        <v>3088826</v>
      </c>
      <c r="E38" s="2">
        <v>22115.11</v>
      </c>
      <c r="F38" s="8">
        <f>VLOOKUP(T5_Weekly_Feed_Calc[[#This Row],[Sampling ABW (g)]],MAIN!$A$2:$B$10,2,TRUE)</f>
        <v>5.5</v>
      </c>
      <c r="G38" s="2">
        <f>T5_Weekly_Feed_Calc[[#This Row],[Biomass (kg)]]*T5_Weekly_Feed_Calc[[#This Row],[Feed Rate (%)]]/100</f>
        <v>1216.33105</v>
      </c>
    </row>
    <row r="39" spans="1:7" ht="24" customHeight="1" x14ac:dyDescent="0.25">
      <c r="A39" t="s">
        <v>28</v>
      </c>
      <c r="B39">
        <v>14</v>
      </c>
      <c r="C39">
        <v>4.54</v>
      </c>
      <c r="D39" s="2">
        <v>3185952</v>
      </c>
      <c r="E39" s="2">
        <v>18792.07</v>
      </c>
      <c r="F39" s="8">
        <f>VLOOKUP(T5_Weekly_Feed_Calc[[#This Row],[Sampling ABW (g)]],MAIN!$A$2:$B$10,2,TRUE)</f>
        <v>7</v>
      </c>
      <c r="G39" s="2">
        <f>T5_Weekly_Feed_Calc[[#This Row],[Biomass (kg)]]*T5_Weekly_Feed_Calc[[#This Row],[Feed Rate (%)]]/100</f>
        <v>1315.4449</v>
      </c>
    </row>
    <row r="40" spans="1:7" ht="24" customHeight="1" x14ac:dyDescent="0.25">
      <c r="A40" t="s">
        <v>29</v>
      </c>
      <c r="B40">
        <v>14</v>
      </c>
      <c r="C40">
        <v>6.21</v>
      </c>
      <c r="D40" s="2">
        <v>2347243</v>
      </c>
      <c r="E40" s="2">
        <v>25438.81</v>
      </c>
      <c r="F40" s="8">
        <f>VLOOKUP(T5_Weekly_Feed_Calc[[#This Row],[Sampling ABW (g)]],MAIN!$A$2:$B$10,2,TRUE)</f>
        <v>5.5</v>
      </c>
      <c r="G40" s="2">
        <f>T5_Weekly_Feed_Calc[[#This Row],[Biomass (kg)]]*T5_Weekly_Feed_Calc[[#This Row],[Feed Rate (%)]]/100</f>
        <v>1399.1345500000002</v>
      </c>
    </row>
    <row r="41" spans="1:7" ht="24" customHeight="1" x14ac:dyDescent="0.25">
      <c r="A41" t="s">
        <v>30</v>
      </c>
      <c r="B41">
        <v>14</v>
      </c>
      <c r="C41">
        <v>5.66</v>
      </c>
      <c r="D41" s="2">
        <v>3100549</v>
      </c>
      <c r="E41" s="2">
        <v>22993.24</v>
      </c>
      <c r="F41" s="8">
        <f>VLOOKUP(T5_Weekly_Feed_Calc[[#This Row],[Sampling ABW (g)]],MAIN!$A$2:$B$10,2,TRUE)</f>
        <v>5.5</v>
      </c>
      <c r="G41" s="2">
        <f>T5_Weekly_Feed_Calc[[#This Row],[Biomass (kg)]]*T5_Weekly_Feed_Calc[[#This Row],[Feed Rate (%)]]/100</f>
        <v>1264.6282000000001</v>
      </c>
    </row>
    <row r="42" spans="1:7" ht="24" customHeight="1" x14ac:dyDescent="0.25">
      <c r="A42" t="s">
        <v>8</v>
      </c>
      <c r="B42">
        <v>21</v>
      </c>
      <c r="C42">
        <v>6.69</v>
      </c>
      <c r="D42" s="2">
        <v>3113041</v>
      </c>
      <c r="E42" s="2">
        <f>T5_Weekly_Feed_Calc[[#This Row],[Pop Count]]*T5_Weekly_Feed_Calc[[#This Row],[Sampling ABW (g)]]/1000</f>
        <v>20826.244290000002</v>
      </c>
      <c r="F42" s="8">
        <f>VLOOKUP(T5_Weekly_Feed_Calc[[#This Row],[Sampling ABW (g)]],MAIN!$A$2:$B$10,2,TRUE)</f>
        <v>5.5</v>
      </c>
      <c r="G42" s="2">
        <f>T5_Weekly_Feed_Calc[[#This Row],[Biomass (kg)]]*T5_Weekly_Feed_Calc[[#This Row],[Feed Rate (%)]]/100</f>
        <v>1145.4434359500001</v>
      </c>
    </row>
    <row r="43" spans="1:7" ht="24" customHeight="1" x14ac:dyDescent="0.25">
      <c r="A43" t="s">
        <v>9</v>
      </c>
      <c r="B43">
        <v>21</v>
      </c>
      <c r="C43">
        <v>6.87</v>
      </c>
      <c r="D43" s="2">
        <v>3315556</v>
      </c>
      <c r="E43" s="2">
        <v>29251.38</v>
      </c>
      <c r="F43" s="8">
        <f>VLOOKUP(T5_Weekly_Feed_Calc[[#This Row],[Sampling ABW (g)]],MAIN!$A$2:$B$10,2,TRUE)</f>
        <v>5.5</v>
      </c>
      <c r="G43" s="2">
        <f>T5_Weekly_Feed_Calc[[#This Row],[Biomass (kg)]]*T5_Weekly_Feed_Calc[[#This Row],[Feed Rate (%)]]/100</f>
        <v>1608.8259</v>
      </c>
    </row>
    <row r="44" spans="1:7" ht="24" customHeight="1" x14ac:dyDescent="0.25">
      <c r="A44" t="s">
        <v>10</v>
      </c>
      <c r="B44">
        <v>21</v>
      </c>
      <c r="C44">
        <v>6.47</v>
      </c>
      <c r="D44" s="2">
        <v>3228696</v>
      </c>
      <c r="E44" s="2">
        <v>27385.83</v>
      </c>
      <c r="F44" s="8">
        <f>VLOOKUP(T5_Weekly_Feed_Calc[[#This Row],[Sampling ABW (g)]],MAIN!$A$2:$B$10,2,TRUE)</f>
        <v>5.5</v>
      </c>
      <c r="G44" s="2">
        <f>T5_Weekly_Feed_Calc[[#This Row],[Biomass (kg)]]*T5_Weekly_Feed_Calc[[#This Row],[Feed Rate (%)]]/100</f>
        <v>1506.22065</v>
      </c>
    </row>
    <row r="45" spans="1:7" ht="24" customHeight="1" x14ac:dyDescent="0.25">
      <c r="A45" t="s">
        <v>11</v>
      </c>
      <c r="B45">
        <v>21</v>
      </c>
      <c r="C45">
        <v>7.49</v>
      </c>
      <c r="D45" s="2">
        <v>2289333</v>
      </c>
      <c r="E45" s="2">
        <v>30822.67</v>
      </c>
      <c r="F45" s="8">
        <f>VLOOKUP(T5_Weekly_Feed_Calc[[#This Row],[Sampling ABW (g)]],MAIN!$A$2:$B$10,2,TRUE)</f>
        <v>5.5</v>
      </c>
      <c r="G45" s="2">
        <f>T5_Weekly_Feed_Calc[[#This Row],[Biomass (kg)]]*T5_Weekly_Feed_Calc[[#This Row],[Feed Rate (%)]]/100</f>
        <v>1695.24685</v>
      </c>
    </row>
    <row r="46" spans="1:7" ht="24" customHeight="1" x14ac:dyDescent="0.25">
      <c r="A46" t="s">
        <v>12</v>
      </c>
      <c r="B46">
        <v>21</v>
      </c>
      <c r="C46">
        <v>7.04</v>
      </c>
      <c r="D46" s="2">
        <v>3053116</v>
      </c>
      <c r="E46" s="2">
        <v>27321.9</v>
      </c>
      <c r="F46" s="8">
        <f>VLOOKUP(T5_Weekly_Feed_Calc[[#This Row],[Sampling ABW (g)]],MAIN!$A$2:$B$10,2,TRUE)</f>
        <v>5.5</v>
      </c>
      <c r="G46" s="2">
        <f>T5_Weekly_Feed_Calc[[#This Row],[Biomass (kg)]]*T5_Weekly_Feed_Calc[[#This Row],[Feed Rate (%)]]/100</f>
        <v>1502.7045000000001</v>
      </c>
    </row>
    <row r="47" spans="1:7" ht="24" customHeight="1" x14ac:dyDescent="0.25">
      <c r="A47" t="s">
        <v>14</v>
      </c>
      <c r="B47">
        <v>21</v>
      </c>
      <c r="C47">
        <v>8.14</v>
      </c>
      <c r="D47" s="2">
        <v>2017488</v>
      </c>
      <c r="E47" s="2">
        <v>32146.95</v>
      </c>
      <c r="F47" s="8">
        <f>VLOOKUP(T5_Weekly_Feed_Calc[[#This Row],[Sampling ABW (g)]],MAIN!$A$2:$B$10,2,TRUE)</f>
        <v>5.5</v>
      </c>
      <c r="G47" s="2">
        <f>T5_Weekly_Feed_Calc[[#This Row],[Biomass (kg)]]*T5_Weekly_Feed_Calc[[#This Row],[Feed Rate (%)]]/100</f>
        <v>1768.0822500000002</v>
      </c>
    </row>
    <row r="48" spans="1:7" ht="24" customHeight="1" x14ac:dyDescent="0.25">
      <c r="A48" t="s">
        <v>15</v>
      </c>
      <c r="B48">
        <v>21</v>
      </c>
      <c r="C48">
        <v>6.34</v>
      </c>
      <c r="D48" s="2">
        <v>1897271</v>
      </c>
      <c r="E48" s="2">
        <v>24826.240000000002</v>
      </c>
      <c r="F48" s="8">
        <f>VLOOKUP(T5_Weekly_Feed_Calc[[#This Row],[Sampling ABW (g)]],MAIN!$A$2:$B$10,2,TRUE)</f>
        <v>5.5</v>
      </c>
      <c r="G48" s="2">
        <f>T5_Weekly_Feed_Calc[[#This Row],[Biomass (kg)]]*T5_Weekly_Feed_Calc[[#This Row],[Feed Rate (%)]]/100</f>
        <v>1365.4432000000002</v>
      </c>
    </row>
    <row r="49" spans="1:7" ht="24" customHeight="1" x14ac:dyDescent="0.25">
      <c r="A49" t="s">
        <v>16</v>
      </c>
      <c r="B49">
        <v>21</v>
      </c>
      <c r="C49">
        <v>7.34</v>
      </c>
      <c r="D49" s="2">
        <v>2308993</v>
      </c>
      <c r="E49" s="2">
        <v>31618.3</v>
      </c>
      <c r="F49" s="8">
        <f>VLOOKUP(T5_Weekly_Feed_Calc[[#This Row],[Sampling ABW (g)]],MAIN!$A$2:$B$10,2,TRUE)</f>
        <v>5.5</v>
      </c>
      <c r="G49" s="2">
        <f>T5_Weekly_Feed_Calc[[#This Row],[Biomass (kg)]]*T5_Weekly_Feed_Calc[[#This Row],[Feed Rate (%)]]/100</f>
        <v>1739.0065</v>
      </c>
    </row>
    <row r="50" spans="1:7" ht="24" customHeight="1" x14ac:dyDescent="0.25">
      <c r="A50" t="s">
        <v>17</v>
      </c>
      <c r="B50">
        <v>21</v>
      </c>
      <c r="C50">
        <v>6.92</v>
      </c>
      <c r="D50" s="2">
        <v>3172527</v>
      </c>
      <c r="E50" s="2">
        <v>28056.94</v>
      </c>
      <c r="F50" s="8">
        <f>VLOOKUP(T5_Weekly_Feed_Calc[[#This Row],[Sampling ABW (g)]],MAIN!$A$2:$B$10,2,TRUE)</f>
        <v>5.5</v>
      </c>
      <c r="G50" s="2">
        <f>T5_Weekly_Feed_Calc[[#This Row],[Biomass (kg)]]*T5_Weekly_Feed_Calc[[#This Row],[Feed Rate (%)]]/100</f>
        <v>1543.1316999999999</v>
      </c>
    </row>
    <row r="51" spans="1:7" ht="24" customHeight="1" x14ac:dyDescent="0.25">
      <c r="A51" t="s">
        <v>18</v>
      </c>
      <c r="B51">
        <v>21</v>
      </c>
      <c r="C51">
        <v>5.86</v>
      </c>
      <c r="D51" s="2">
        <v>3221662</v>
      </c>
      <c r="E51" s="2">
        <v>24584.59</v>
      </c>
      <c r="F51" s="8">
        <f>VLOOKUP(T5_Weekly_Feed_Calc[[#This Row],[Sampling ABW (g)]],MAIN!$A$2:$B$10,2,TRUE)</f>
        <v>5.5</v>
      </c>
      <c r="G51" s="2">
        <f>T5_Weekly_Feed_Calc[[#This Row],[Biomass (kg)]]*T5_Weekly_Feed_Calc[[#This Row],[Feed Rate (%)]]/100</f>
        <v>1352.15245</v>
      </c>
    </row>
    <row r="52" spans="1:7" ht="24" customHeight="1" x14ac:dyDescent="0.25">
      <c r="A52" t="s">
        <v>20</v>
      </c>
      <c r="B52">
        <v>21</v>
      </c>
      <c r="C52">
        <v>7.96</v>
      </c>
      <c r="D52" s="2">
        <v>2081353</v>
      </c>
      <c r="E52" s="2">
        <v>30735.37</v>
      </c>
      <c r="F52" s="8">
        <f>VLOOKUP(T5_Weekly_Feed_Calc[[#This Row],[Sampling ABW (g)]],MAIN!$A$2:$B$10,2,TRUE)</f>
        <v>5.5</v>
      </c>
      <c r="G52" s="2">
        <f>T5_Weekly_Feed_Calc[[#This Row],[Biomass (kg)]]*T5_Weekly_Feed_Calc[[#This Row],[Feed Rate (%)]]/100</f>
        <v>1690.44535</v>
      </c>
    </row>
    <row r="53" spans="1:7" ht="24" customHeight="1" x14ac:dyDescent="0.25">
      <c r="A53" t="s">
        <v>21</v>
      </c>
      <c r="B53">
        <v>21</v>
      </c>
      <c r="C53">
        <v>6.2</v>
      </c>
      <c r="D53" s="2">
        <v>3327159</v>
      </c>
      <c r="E53" s="2">
        <v>26477.63</v>
      </c>
      <c r="F53" s="8">
        <f>VLOOKUP(T5_Weekly_Feed_Calc[[#This Row],[Sampling ABW (g)]],MAIN!$A$2:$B$10,2,TRUE)</f>
        <v>5.5</v>
      </c>
      <c r="G53" s="2">
        <f>T5_Weekly_Feed_Calc[[#This Row],[Biomass (kg)]]*T5_Weekly_Feed_Calc[[#This Row],[Feed Rate (%)]]/100</f>
        <v>1456.26965</v>
      </c>
    </row>
    <row r="54" spans="1:7" ht="24" customHeight="1" x14ac:dyDescent="0.25">
      <c r="A54" t="s">
        <v>22</v>
      </c>
      <c r="B54">
        <v>21</v>
      </c>
      <c r="C54">
        <v>7.27</v>
      </c>
      <c r="D54" s="2">
        <v>3291199</v>
      </c>
      <c r="E54" s="2">
        <v>30456.58</v>
      </c>
      <c r="F54" s="8">
        <f>VLOOKUP(T5_Weekly_Feed_Calc[[#This Row],[Sampling ABW (g)]],MAIN!$A$2:$B$10,2,TRUE)</f>
        <v>5.5</v>
      </c>
      <c r="G54" s="2">
        <f>T5_Weekly_Feed_Calc[[#This Row],[Biomass (kg)]]*T5_Weekly_Feed_Calc[[#This Row],[Feed Rate (%)]]/100</f>
        <v>1675.1119000000001</v>
      </c>
    </row>
    <row r="55" spans="1:7" ht="24" customHeight="1" x14ac:dyDescent="0.25">
      <c r="A55" t="s">
        <v>23</v>
      </c>
      <c r="B55">
        <v>21</v>
      </c>
      <c r="C55">
        <v>8.6300000000000008</v>
      </c>
      <c r="D55" s="2">
        <v>1769583</v>
      </c>
      <c r="E55" s="2">
        <v>34405.47</v>
      </c>
      <c r="F55" s="8">
        <f>VLOOKUP(T5_Weekly_Feed_Calc[[#This Row],[Sampling ABW (g)]],MAIN!$A$2:$B$10,2,TRUE)</f>
        <v>5.5</v>
      </c>
      <c r="G55" s="2">
        <f>T5_Weekly_Feed_Calc[[#This Row],[Biomass (kg)]]*T5_Weekly_Feed_Calc[[#This Row],[Feed Rate (%)]]/100</f>
        <v>1892.3008500000003</v>
      </c>
    </row>
    <row r="56" spans="1:7" ht="24" customHeight="1" x14ac:dyDescent="0.25">
      <c r="A56" t="s">
        <v>24</v>
      </c>
      <c r="B56">
        <v>21</v>
      </c>
      <c r="C56">
        <v>8.6199999999999992</v>
      </c>
      <c r="D56" s="2">
        <v>3053879</v>
      </c>
      <c r="E56" s="2">
        <v>34375.49</v>
      </c>
      <c r="F56" s="8">
        <f>VLOOKUP(T5_Weekly_Feed_Calc[[#This Row],[Sampling ABW (g)]],MAIN!$A$2:$B$10,2,TRUE)</f>
        <v>5.5</v>
      </c>
      <c r="G56" s="2">
        <f>T5_Weekly_Feed_Calc[[#This Row],[Biomass (kg)]]*T5_Weekly_Feed_Calc[[#This Row],[Feed Rate (%)]]/100</f>
        <v>1890.6519499999997</v>
      </c>
    </row>
    <row r="57" spans="1:7" ht="24" customHeight="1" x14ac:dyDescent="0.25">
      <c r="A57" t="s">
        <v>26</v>
      </c>
      <c r="B57">
        <v>21</v>
      </c>
      <c r="C57">
        <v>8.39</v>
      </c>
      <c r="D57" s="2">
        <v>3060517</v>
      </c>
      <c r="E57" s="2">
        <v>33059.050000000003</v>
      </c>
      <c r="F57" s="8">
        <f>VLOOKUP(T5_Weekly_Feed_Calc[[#This Row],[Sampling ABW (g)]],MAIN!$A$2:$B$10,2,TRUE)</f>
        <v>5.5</v>
      </c>
      <c r="G57" s="2">
        <f>T5_Weekly_Feed_Calc[[#This Row],[Biomass (kg)]]*T5_Weekly_Feed_Calc[[#This Row],[Feed Rate (%)]]/100</f>
        <v>1818.2477500000002</v>
      </c>
    </row>
    <row r="58" spans="1:7" ht="24" customHeight="1" x14ac:dyDescent="0.25">
      <c r="A58" t="s">
        <v>27</v>
      </c>
      <c r="B58">
        <v>21</v>
      </c>
      <c r="C58">
        <v>7.03</v>
      </c>
      <c r="D58" s="2">
        <v>3073957</v>
      </c>
      <c r="E58" s="2">
        <v>28441.01</v>
      </c>
      <c r="F58" s="8">
        <f>VLOOKUP(T5_Weekly_Feed_Calc[[#This Row],[Sampling ABW (g)]],MAIN!$A$2:$B$10,2,TRUE)</f>
        <v>5.5</v>
      </c>
      <c r="G58" s="2">
        <f>T5_Weekly_Feed_Calc[[#This Row],[Biomass (kg)]]*T5_Weekly_Feed_Calc[[#This Row],[Feed Rate (%)]]/100</f>
        <v>1564.2555499999999</v>
      </c>
    </row>
    <row r="59" spans="1:7" ht="24" customHeight="1" x14ac:dyDescent="0.25">
      <c r="A59" t="s">
        <v>28</v>
      </c>
      <c r="B59">
        <v>21</v>
      </c>
      <c r="C59">
        <v>5.89</v>
      </c>
      <c r="D59" s="2">
        <v>3177681</v>
      </c>
      <c r="E59" s="2">
        <v>24200.42</v>
      </c>
      <c r="F59" s="8">
        <f>VLOOKUP(T5_Weekly_Feed_Calc[[#This Row],[Sampling ABW (g)]],MAIN!$A$2:$B$10,2,TRUE)</f>
        <v>5.5</v>
      </c>
      <c r="G59" s="2">
        <f>T5_Weekly_Feed_Calc[[#This Row],[Biomass (kg)]]*T5_Weekly_Feed_Calc[[#This Row],[Feed Rate (%)]]/100</f>
        <v>1331.0230999999999</v>
      </c>
    </row>
    <row r="60" spans="1:7" ht="24" customHeight="1" x14ac:dyDescent="0.25">
      <c r="A60" t="s">
        <v>29</v>
      </c>
      <c r="B60">
        <v>21</v>
      </c>
      <c r="C60">
        <v>8.06</v>
      </c>
      <c r="D60" s="2">
        <v>2298185</v>
      </c>
      <c r="E60" s="2">
        <v>32746.33</v>
      </c>
      <c r="F60" s="8">
        <f>VLOOKUP(T5_Weekly_Feed_Calc[[#This Row],[Sampling ABW (g)]],MAIN!$A$2:$B$10,2,TRUE)</f>
        <v>5.5</v>
      </c>
      <c r="G60" s="2">
        <f>T5_Weekly_Feed_Calc[[#This Row],[Biomass (kg)]]*T5_Weekly_Feed_Calc[[#This Row],[Feed Rate (%)]]/100</f>
        <v>1801.0481500000001</v>
      </c>
    </row>
    <row r="61" spans="1:7" ht="24" customHeight="1" x14ac:dyDescent="0.25">
      <c r="A61" t="s">
        <v>30</v>
      </c>
      <c r="B61">
        <v>21</v>
      </c>
      <c r="C61">
        <v>6.78</v>
      </c>
      <c r="D61" s="2">
        <v>3084871</v>
      </c>
      <c r="E61" s="2">
        <v>27300.52</v>
      </c>
      <c r="F61" s="8">
        <f>VLOOKUP(T5_Weekly_Feed_Calc[[#This Row],[Sampling ABW (g)]],MAIN!$A$2:$B$10,2,TRUE)</f>
        <v>5.5</v>
      </c>
      <c r="G61" s="2">
        <f>T5_Weekly_Feed_Calc[[#This Row],[Biomass (kg)]]*T5_Weekly_Feed_Calc[[#This Row],[Feed Rate (%)]]/100</f>
        <v>1501.5286000000001</v>
      </c>
    </row>
    <row r="62" spans="1:7" ht="24" customHeight="1" x14ac:dyDescent="0.25">
      <c r="A62" t="s">
        <v>8</v>
      </c>
      <c r="B62">
        <v>28</v>
      </c>
      <c r="C62">
        <v>8.2799999999999994</v>
      </c>
      <c r="D62" s="2">
        <v>3097974</v>
      </c>
      <c r="E62" s="2">
        <f>T5_Weekly_Feed_Calc[[#This Row],[Pop Count]]*T5_Weekly_Feed_Calc[[#This Row],[Sampling ABW (g)]]/1000</f>
        <v>25651.224719999998</v>
      </c>
      <c r="F62" s="8">
        <f>VLOOKUP(T5_Weekly_Feed_Calc[[#This Row],[Sampling ABW (g)]],MAIN!$A$2:$B$10,2,TRUE)</f>
        <v>5.5</v>
      </c>
      <c r="G62" s="2">
        <f>T5_Weekly_Feed_Calc[[#This Row],[Biomass (kg)]]*T5_Weekly_Feed_Calc[[#This Row],[Feed Rate (%)]]/100</f>
        <v>1410.8173595999999</v>
      </c>
    </row>
    <row r="63" spans="1:7" ht="24" customHeight="1" x14ac:dyDescent="0.25">
      <c r="A63" t="s">
        <v>9</v>
      </c>
      <c r="B63">
        <v>28</v>
      </c>
      <c r="C63">
        <v>8.3800000000000008</v>
      </c>
      <c r="D63" s="2">
        <v>3308873</v>
      </c>
      <c r="E63" s="2">
        <v>35478.959999999999</v>
      </c>
      <c r="F63" s="8">
        <f>VLOOKUP(T5_Weekly_Feed_Calc[[#This Row],[Sampling ABW (g)]],MAIN!$A$2:$B$10,2,TRUE)</f>
        <v>5.5</v>
      </c>
      <c r="G63" s="2">
        <f>T5_Weekly_Feed_Calc[[#This Row],[Biomass (kg)]]*T5_Weekly_Feed_Calc[[#This Row],[Feed Rate (%)]]/100</f>
        <v>1951.3427999999999</v>
      </c>
    </row>
    <row r="64" spans="1:7" ht="24" customHeight="1" x14ac:dyDescent="0.25">
      <c r="A64" t="s">
        <v>10</v>
      </c>
      <c r="B64">
        <v>28</v>
      </c>
      <c r="C64">
        <v>7.55</v>
      </c>
      <c r="D64" s="2">
        <v>3225328</v>
      </c>
      <c r="E64" s="2">
        <v>31762.28</v>
      </c>
      <c r="F64" s="8">
        <f>VLOOKUP(T5_Weekly_Feed_Calc[[#This Row],[Sampling ABW (g)]],MAIN!$A$2:$B$10,2,TRUE)</f>
        <v>5.5</v>
      </c>
      <c r="G64" s="2">
        <f>T5_Weekly_Feed_Calc[[#This Row],[Biomass (kg)]]*T5_Weekly_Feed_Calc[[#This Row],[Feed Rate (%)]]/100</f>
        <v>1746.9253999999999</v>
      </c>
    </row>
    <row r="65" spans="1:7" ht="24" customHeight="1" x14ac:dyDescent="0.25">
      <c r="A65" t="s">
        <v>11</v>
      </c>
      <c r="B65">
        <v>28</v>
      </c>
      <c r="C65">
        <v>8.82</v>
      </c>
      <c r="D65" s="2">
        <v>2232259</v>
      </c>
      <c r="E65" s="2">
        <v>35660.25</v>
      </c>
      <c r="F65" s="8">
        <f>VLOOKUP(T5_Weekly_Feed_Calc[[#This Row],[Sampling ABW (g)]],MAIN!$A$2:$B$10,2,TRUE)</f>
        <v>5.5</v>
      </c>
      <c r="G65" s="2">
        <f>T5_Weekly_Feed_Calc[[#This Row],[Biomass (kg)]]*T5_Weekly_Feed_Calc[[#This Row],[Feed Rate (%)]]/100</f>
        <v>1961.31375</v>
      </c>
    </row>
    <row r="66" spans="1:7" ht="24" customHeight="1" x14ac:dyDescent="0.25">
      <c r="A66" t="s">
        <v>12</v>
      </c>
      <c r="B66">
        <v>28</v>
      </c>
      <c r="C66">
        <v>8.2799999999999994</v>
      </c>
      <c r="D66" s="2">
        <v>3045919</v>
      </c>
      <c r="E66" s="2">
        <v>31333.8</v>
      </c>
      <c r="F66" s="8">
        <f>VLOOKUP(T5_Weekly_Feed_Calc[[#This Row],[Sampling ABW (g)]],MAIN!$A$2:$B$10,2,TRUE)</f>
        <v>5.5</v>
      </c>
      <c r="G66" s="2">
        <f>T5_Weekly_Feed_Calc[[#This Row],[Biomass (kg)]]*T5_Weekly_Feed_Calc[[#This Row],[Feed Rate (%)]]/100</f>
        <v>1723.3589999999999</v>
      </c>
    </row>
    <row r="67" spans="1:7" ht="24" customHeight="1" x14ac:dyDescent="0.25">
      <c r="A67" t="s">
        <v>14</v>
      </c>
      <c r="B67">
        <v>28</v>
      </c>
      <c r="C67">
        <v>9.36</v>
      </c>
      <c r="D67" s="2">
        <v>2008765</v>
      </c>
      <c r="E67" s="2">
        <v>36724</v>
      </c>
      <c r="F67" s="8">
        <f>VLOOKUP(T5_Weekly_Feed_Calc[[#This Row],[Sampling ABW (g)]],MAIN!$A$2:$B$10,2,TRUE)</f>
        <v>5.5</v>
      </c>
      <c r="G67" s="2">
        <f>T5_Weekly_Feed_Calc[[#This Row],[Biomass (kg)]]*T5_Weekly_Feed_Calc[[#This Row],[Feed Rate (%)]]/100</f>
        <v>2019.82</v>
      </c>
    </row>
    <row r="68" spans="1:7" ht="24" customHeight="1" x14ac:dyDescent="0.25">
      <c r="A68" t="s">
        <v>15</v>
      </c>
      <c r="B68">
        <v>28</v>
      </c>
      <c r="C68">
        <v>8.2100000000000009</v>
      </c>
      <c r="D68" s="2">
        <v>1861436</v>
      </c>
      <c r="E68" s="2">
        <v>31644.74</v>
      </c>
      <c r="F68" s="8">
        <f>VLOOKUP(T5_Weekly_Feed_Calc[[#This Row],[Sampling ABW (g)]],MAIN!$A$2:$B$10,2,TRUE)</f>
        <v>5.5</v>
      </c>
      <c r="G68" s="2">
        <f>T5_Weekly_Feed_Calc[[#This Row],[Biomass (kg)]]*T5_Weekly_Feed_Calc[[#This Row],[Feed Rate (%)]]/100</f>
        <v>1740.4607000000001</v>
      </c>
    </row>
    <row r="69" spans="1:7" ht="24" customHeight="1" x14ac:dyDescent="0.25">
      <c r="A69" t="s">
        <v>16</v>
      </c>
      <c r="B69">
        <v>28</v>
      </c>
      <c r="C69">
        <v>8.6999999999999993</v>
      </c>
      <c r="D69" s="2">
        <v>2283890</v>
      </c>
      <c r="E69" s="2">
        <v>37234.28</v>
      </c>
      <c r="F69" s="8">
        <f>VLOOKUP(T5_Weekly_Feed_Calc[[#This Row],[Sampling ABW (g)]],MAIN!$A$2:$B$10,2,TRUE)</f>
        <v>5.5</v>
      </c>
      <c r="G69" s="2">
        <f>T5_Weekly_Feed_Calc[[#This Row],[Biomass (kg)]]*T5_Weekly_Feed_Calc[[#This Row],[Feed Rate (%)]]/100</f>
        <v>2047.8853999999999</v>
      </c>
    </row>
    <row r="70" spans="1:7" ht="24" customHeight="1" x14ac:dyDescent="0.25">
      <c r="A70" t="s">
        <v>17</v>
      </c>
      <c r="B70">
        <v>28</v>
      </c>
      <c r="C70">
        <v>8.7200000000000006</v>
      </c>
      <c r="D70" s="2">
        <v>3168765</v>
      </c>
      <c r="E70" s="2">
        <v>35164.49</v>
      </c>
      <c r="F70" s="8">
        <f>VLOOKUP(T5_Weekly_Feed_Calc[[#This Row],[Sampling ABW (g)]],MAIN!$A$2:$B$10,2,TRUE)</f>
        <v>5.5</v>
      </c>
      <c r="G70" s="2">
        <f>T5_Weekly_Feed_Calc[[#This Row],[Biomass (kg)]]*T5_Weekly_Feed_Calc[[#This Row],[Feed Rate (%)]]/100</f>
        <v>1934.0469499999997</v>
      </c>
    </row>
    <row r="71" spans="1:7" ht="24" customHeight="1" x14ac:dyDescent="0.25">
      <c r="A71" t="s">
        <v>18</v>
      </c>
      <c r="B71">
        <v>28</v>
      </c>
      <c r="C71">
        <v>7.43</v>
      </c>
      <c r="D71" s="2">
        <v>3208456</v>
      </c>
      <c r="E71" s="2">
        <v>30915.13</v>
      </c>
      <c r="F71" s="8">
        <f>VLOOKUP(T5_Weekly_Feed_Calc[[#This Row],[Sampling ABW (g)]],MAIN!$A$2:$B$10,2,TRUE)</f>
        <v>5.5</v>
      </c>
      <c r="G71" s="2">
        <f>T5_Weekly_Feed_Calc[[#This Row],[Biomass (kg)]]*T5_Weekly_Feed_Calc[[#This Row],[Feed Rate (%)]]/100</f>
        <v>1700.33215</v>
      </c>
    </row>
    <row r="72" spans="1:7" ht="24" customHeight="1" x14ac:dyDescent="0.25">
      <c r="A72" t="s">
        <v>20</v>
      </c>
      <c r="B72">
        <v>28</v>
      </c>
      <c r="C72">
        <v>9.67</v>
      </c>
      <c r="D72" s="2">
        <v>2073795</v>
      </c>
      <c r="E72" s="2">
        <v>36646.07</v>
      </c>
      <c r="F72" s="8">
        <f>VLOOKUP(T5_Weekly_Feed_Calc[[#This Row],[Sampling ABW (g)]],MAIN!$A$2:$B$10,2,TRUE)</f>
        <v>5.5</v>
      </c>
      <c r="G72" s="2">
        <f>T5_Weekly_Feed_Calc[[#This Row],[Biomass (kg)]]*T5_Weekly_Feed_Calc[[#This Row],[Feed Rate (%)]]/100</f>
        <v>2015.53385</v>
      </c>
    </row>
    <row r="73" spans="1:7" ht="24" customHeight="1" x14ac:dyDescent="0.25">
      <c r="A73" t="s">
        <v>21</v>
      </c>
      <c r="B73">
        <v>28</v>
      </c>
      <c r="C73">
        <v>7.65</v>
      </c>
      <c r="D73" s="2">
        <v>3312111</v>
      </c>
      <c r="E73" s="2">
        <v>32116.09</v>
      </c>
      <c r="F73" s="8">
        <f>VLOOKUP(T5_Weekly_Feed_Calc[[#This Row],[Sampling ABW (g)]],MAIN!$A$2:$B$10,2,TRUE)</f>
        <v>5.5</v>
      </c>
      <c r="G73" s="2">
        <f>T5_Weekly_Feed_Calc[[#This Row],[Biomass (kg)]]*T5_Weekly_Feed_Calc[[#This Row],[Feed Rate (%)]]/100</f>
        <v>1766.3849499999999</v>
      </c>
    </row>
    <row r="74" spans="1:7" ht="24" customHeight="1" x14ac:dyDescent="0.25">
      <c r="A74" t="s">
        <v>22</v>
      </c>
      <c r="B74">
        <v>28</v>
      </c>
      <c r="C74">
        <v>8.7899999999999991</v>
      </c>
      <c r="D74" s="2">
        <v>3285570</v>
      </c>
      <c r="E74" s="2">
        <v>36524.53</v>
      </c>
      <c r="F74" s="8">
        <f>VLOOKUP(T5_Weekly_Feed_Calc[[#This Row],[Sampling ABW (g)]],MAIN!$A$2:$B$10,2,TRUE)</f>
        <v>5.5</v>
      </c>
      <c r="G74" s="2">
        <f>T5_Weekly_Feed_Calc[[#This Row],[Biomass (kg)]]*T5_Weekly_Feed_Calc[[#This Row],[Feed Rate (%)]]/100</f>
        <v>2008.8491499999998</v>
      </c>
    </row>
    <row r="75" spans="1:7" ht="24" customHeight="1" x14ac:dyDescent="0.25">
      <c r="A75" t="s">
        <v>23</v>
      </c>
      <c r="B75">
        <v>28</v>
      </c>
      <c r="C75">
        <v>10.08</v>
      </c>
      <c r="D75" s="2">
        <v>1743786</v>
      </c>
      <c r="E75" s="2">
        <v>39407.15</v>
      </c>
      <c r="F75" s="8">
        <f>VLOOKUP(T5_Weekly_Feed_Calc[[#This Row],[Sampling ABW (g)]],MAIN!$A$2:$B$10,2,TRUE)</f>
        <v>4.5</v>
      </c>
      <c r="G75" s="2">
        <f>T5_Weekly_Feed_Calc[[#This Row],[Biomass (kg)]]*T5_Weekly_Feed_Calc[[#This Row],[Feed Rate (%)]]/100</f>
        <v>1773.3217500000001</v>
      </c>
    </row>
    <row r="76" spans="1:7" ht="24" customHeight="1" x14ac:dyDescent="0.25">
      <c r="A76" t="s">
        <v>24</v>
      </c>
      <c r="B76">
        <v>28</v>
      </c>
      <c r="C76">
        <v>9.8000000000000007</v>
      </c>
      <c r="D76" s="2">
        <v>3048036</v>
      </c>
      <c r="E76" s="2">
        <v>38219.879999999997</v>
      </c>
      <c r="F76" s="8">
        <f>VLOOKUP(T5_Weekly_Feed_Calc[[#This Row],[Sampling ABW (g)]],MAIN!$A$2:$B$10,2,TRUE)</f>
        <v>5.5</v>
      </c>
      <c r="G76" s="2">
        <f>T5_Weekly_Feed_Calc[[#This Row],[Biomass (kg)]]*T5_Weekly_Feed_Calc[[#This Row],[Feed Rate (%)]]/100</f>
        <v>2102.0933999999997</v>
      </c>
    </row>
    <row r="77" spans="1:7" ht="24" customHeight="1" x14ac:dyDescent="0.25">
      <c r="A77" t="s">
        <v>26</v>
      </c>
      <c r="B77">
        <v>28</v>
      </c>
      <c r="C77">
        <v>10.039999999999999</v>
      </c>
      <c r="D77" s="2">
        <v>3053307</v>
      </c>
      <c r="E77" s="2">
        <v>39014.6</v>
      </c>
      <c r="F77" s="8">
        <f>VLOOKUP(T5_Weekly_Feed_Calc[[#This Row],[Sampling ABW (g)]],MAIN!$A$2:$B$10,2,TRUE)</f>
        <v>4.5</v>
      </c>
      <c r="G77" s="2">
        <f>T5_Weekly_Feed_Calc[[#This Row],[Biomass (kg)]]*T5_Weekly_Feed_Calc[[#This Row],[Feed Rate (%)]]/100</f>
        <v>1755.6569999999999</v>
      </c>
    </row>
    <row r="78" spans="1:7" ht="24" customHeight="1" x14ac:dyDescent="0.25">
      <c r="A78" t="s">
        <v>27</v>
      </c>
      <c r="B78">
        <v>28</v>
      </c>
      <c r="C78">
        <v>8.2899999999999991</v>
      </c>
      <c r="D78" s="2">
        <v>3057736</v>
      </c>
      <c r="E78" s="2">
        <v>33295.78</v>
      </c>
      <c r="F78" s="8">
        <f>VLOOKUP(T5_Weekly_Feed_Calc[[#This Row],[Sampling ABW (g)]],MAIN!$A$2:$B$10,2,TRUE)</f>
        <v>5.5</v>
      </c>
      <c r="G78" s="2">
        <f>T5_Weekly_Feed_Calc[[#This Row],[Biomass (kg)]]*T5_Weekly_Feed_Calc[[#This Row],[Feed Rate (%)]]/100</f>
        <v>1831.2678999999998</v>
      </c>
    </row>
    <row r="79" spans="1:7" ht="24" customHeight="1" x14ac:dyDescent="0.25">
      <c r="A79" t="s">
        <v>28</v>
      </c>
      <c r="B79">
        <v>28</v>
      </c>
      <c r="C79">
        <v>6.91</v>
      </c>
      <c r="D79" s="2">
        <v>3166929</v>
      </c>
      <c r="E79" s="2">
        <v>28086.04</v>
      </c>
      <c r="F79" s="8">
        <f>VLOOKUP(T5_Weekly_Feed_Calc[[#This Row],[Sampling ABW (g)]],MAIN!$A$2:$B$10,2,TRUE)</f>
        <v>5.5</v>
      </c>
      <c r="G79" s="2">
        <f>T5_Weekly_Feed_Calc[[#This Row],[Biomass (kg)]]*T5_Weekly_Feed_Calc[[#This Row],[Feed Rate (%)]]/100</f>
        <v>1544.7321999999999</v>
      </c>
    </row>
    <row r="80" spans="1:7" ht="24" customHeight="1" x14ac:dyDescent="0.25">
      <c r="A80" t="s">
        <v>29</v>
      </c>
      <c r="B80">
        <v>28</v>
      </c>
      <c r="C80">
        <v>9.64</v>
      </c>
      <c r="D80" s="2">
        <v>2258526</v>
      </c>
      <c r="E80" s="2">
        <v>38640.199999999997</v>
      </c>
      <c r="F80" s="8">
        <f>VLOOKUP(T5_Weekly_Feed_Calc[[#This Row],[Sampling ABW (g)]],MAIN!$A$2:$B$10,2,TRUE)</f>
        <v>5.5</v>
      </c>
      <c r="G80" s="2">
        <f>T5_Weekly_Feed_Calc[[#This Row],[Biomass (kg)]]*T5_Weekly_Feed_Calc[[#This Row],[Feed Rate (%)]]/100</f>
        <v>2125.2109999999998</v>
      </c>
    </row>
    <row r="81" spans="1:7" ht="24" customHeight="1" x14ac:dyDescent="0.25">
      <c r="A81" t="s">
        <v>30</v>
      </c>
      <c r="B81">
        <v>28</v>
      </c>
      <c r="C81">
        <v>7.94</v>
      </c>
      <c r="D81" s="2">
        <v>3078711</v>
      </c>
      <c r="E81" s="2">
        <v>31230.36</v>
      </c>
      <c r="F81" s="8">
        <f>VLOOKUP(T5_Weekly_Feed_Calc[[#This Row],[Sampling ABW (g)]],MAIN!$A$2:$B$10,2,TRUE)</f>
        <v>5.5</v>
      </c>
      <c r="G81" s="2">
        <f>T5_Weekly_Feed_Calc[[#This Row],[Biomass (kg)]]*T5_Weekly_Feed_Calc[[#This Row],[Feed Rate (%)]]/100</f>
        <v>1717.6698000000001</v>
      </c>
    </row>
    <row r="82" spans="1:7" ht="24" customHeight="1" x14ac:dyDescent="0.25">
      <c r="A82" t="s">
        <v>8</v>
      </c>
      <c r="B82">
        <v>35</v>
      </c>
      <c r="C82">
        <v>10.09</v>
      </c>
      <c r="D82" s="2">
        <v>3085124</v>
      </c>
      <c r="E82" s="2">
        <f>T5_Weekly_Feed_Calc[[#This Row],[Pop Count]]*T5_Weekly_Feed_Calc[[#This Row],[Sampling ABW (g)]]/1000</f>
        <v>31128.901160000001</v>
      </c>
      <c r="F82" s="8">
        <f>VLOOKUP(T5_Weekly_Feed_Calc[[#This Row],[Sampling ABW (g)]],MAIN!$A$2:$B$10,2,TRUE)</f>
        <v>4.5</v>
      </c>
      <c r="G82" s="2">
        <f>T5_Weekly_Feed_Calc[[#This Row],[Biomass (kg)]]*T5_Weekly_Feed_Calc[[#This Row],[Feed Rate (%)]]/100</f>
        <v>1400.8005522000001</v>
      </c>
    </row>
    <row r="83" spans="1:7" ht="24" customHeight="1" x14ac:dyDescent="0.25">
      <c r="A83" t="s">
        <v>9</v>
      </c>
      <c r="B83">
        <v>35</v>
      </c>
      <c r="C83">
        <v>9.68</v>
      </c>
      <c r="D83" s="2">
        <v>3305606</v>
      </c>
      <c r="E83" s="2">
        <v>40412.639999999999</v>
      </c>
      <c r="F83" s="8">
        <f>VLOOKUP(T5_Weekly_Feed_Calc[[#This Row],[Sampling ABW (g)]],MAIN!$A$2:$B$10,2,TRUE)</f>
        <v>5.5</v>
      </c>
      <c r="G83" s="2">
        <f>T5_Weekly_Feed_Calc[[#This Row],[Biomass (kg)]]*T5_Weekly_Feed_Calc[[#This Row],[Feed Rate (%)]]/100</f>
        <v>2222.6952000000001</v>
      </c>
    </row>
    <row r="84" spans="1:7" ht="24" customHeight="1" x14ac:dyDescent="0.25">
      <c r="A84" t="s">
        <v>10</v>
      </c>
      <c r="B84">
        <v>35</v>
      </c>
      <c r="C84">
        <v>8.89</v>
      </c>
      <c r="D84" s="2">
        <v>3210063</v>
      </c>
      <c r="E84" s="2">
        <v>36858.82</v>
      </c>
      <c r="F84" s="8">
        <f>VLOOKUP(T5_Weekly_Feed_Calc[[#This Row],[Sampling ABW (g)]],MAIN!$A$2:$B$10,2,TRUE)</f>
        <v>5.5</v>
      </c>
      <c r="G84" s="2">
        <f>T5_Weekly_Feed_Calc[[#This Row],[Biomass (kg)]]*T5_Weekly_Feed_Calc[[#This Row],[Feed Rate (%)]]/100</f>
        <v>2027.2351000000001</v>
      </c>
    </row>
    <row r="85" spans="1:7" ht="24" customHeight="1" x14ac:dyDescent="0.25">
      <c r="A85" t="s">
        <v>11</v>
      </c>
      <c r="B85">
        <v>35</v>
      </c>
      <c r="C85">
        <v>9.91</v>
      </c>
      <c r="D85" s="2">
        <v>2168495</v>
      </c>
      <c r="E85" s="2">
        <v>39553.769999999997</v>
      </c>
      <c r="F85" s="8">
        <f>VLOOKUP(T5_Weekly_Feed_Calc[[#This Row],[Sampling ABW (g)]],MAIN!$A$2:$B$10,2,TRUE)</f>
        <v>5.5</v>
      </c>
      <c r="G85" s="2">
        <f>T5_Weekly_Feed_Calc[[#This Row],[Biomass (kg)]]*T5_Weekly_Feed_Calc[[#This Row],[Feed Rate (%)]]/100</f>
        <v>2175.4573499999997</v>
      </c>
    </row>
    <row r="86" spans="1:7" ht="24" customHeight="1" x14ac:dyDescent="0.25">
      <c r="A86" t="s">
        <v>12</v>
      </c>
      <c r="B86">
        <v>35</v>
      </c>
      <c r="C86">
        <v>9.8000000000000007</v>
      </c>
      <c r="D86" s="2">
        <v>3035392</v>
      </c>
      <c r="E86" s="2">
        <v>36697.760000000002</v>
      </c>
      <c r="F86" s="8">
        <f>VLOOKUP(T5_Weekly_Feed_Calc[[#This Row],[Sampling ABW (g)]],MAIN!$A$2:$B$10,2,TRUE)</f>
        <v>5.5</v>
      </c>
      <c r="G86" s="2">
        <f>T5_Weekly_Feed_Calc[[#This Row],[Biomass (kg)]]*T5_Weekly_Feed_Calc[[#This Row],[Feed Rate (%)]]/100</f>
        <v>2018.3768000000002</v>
      </c>
    </row>
    <row r="87" spans="1:7" ht="24" customHeight="1" x14ac:dyDescent="0.25">
      <c r="A87" t="s">
        <v>14</v>
      </c>
      <c r="B87">
        <v>35</v>
      </c>
      <c r="C87">
        <v>10.39</v>
      </c>
      <c r="D87" s="2">
        <v>1991087</v>
      </c>
      <c r="E87" s="2">
        <v>40549.85</v>
      </c>
      <c r="F87" s="8">
        <f>VLOOKUP(T5_Weekly_Feed_Calc[[#This Row],[Sampling ABW (g)]],MAIN!$A$2:$B$10,2,TRUE)</f>
        <v>4.5</v>
      </c>
      <c r="G87" s="2">
        <f>T5_Weekly_Feed_Calc[[#This Row],[Biomass (kg)]]*T5_Weekly_Feed_Calc[[#This Row],[Feed Rate (%)]]/100</f>
        <v>1824.7432499999998</v>
      </c>
    </row>
    <row r="88" spans="1:7" ht="24" customHeight="1" x14ac:dyDescent="0.25">
      <c r="A88" t="s">
        <v>15</v>
      </c>
      <c r="B88">
        <v>35</v>
      </c>
      <c r="C88">
        <v>9.6300000000000008</v>
      </c>
      <c r="D88" s="2">
        <v>1827468</v>
      </c>
      <c r="E88" s="2">
        <v>36567.29</v>
      </c>
      <c r="F88" s="8">
        <f>VLOOKUP(T5_Weekly_Feed_Calc[[#This Row],[Sampling ABW (g)]],MAIN!$A$2:$B$10,2,TRUE)</f>
        <v>5.5</v>
      </c>
      <c r="G88" s="2">
        <f>T5_Weekly_Feed_Calc[[#This Row],[Biomass (kg)]]*T5_Weekly_Feed_Calc[[#This Row],[Feed Rate (%)]]/100</f>
        <v>2011.2009499999999</v>
      </c>
    </row>
    <row r="89" spans="1:7" ht="24" customHeight="1" x14ac:dyDescent="0.25">
      <c r="A89" t="s">
        <v>16</v>
      </c>
      <c r="B89">
        <v>35</v>
      </c>
      <c r="C89">
        <v>10.19</v>
      </c>
      <c r="D89" s="2">
        <v>2279433</v>
      </c>
      <c r="E89" s="2">
        <v>42797.1</v>
      </c>
      <c r="F89" s="8">
        <f>VLOOKUP(T5_Weekly_Feed_Calc[[#This Row],[Sampling ABW (g)]],MAIN!$A$2:$B$10,2,TRUE)</f>
        <v>4.5</v>
      </c>
      <c r="G89" s="2">
        <f>T5_Weekly_Feed_Calc[[#This Row],[Biomass (kg)]]*T5_Weekly_Feed_Calc[[#This Row],[Feed Rate (%)]]/100</f>
        <v>1925.8694999999998</v>
      </c>
    </row>
    <row r="90" spans="1:7" ht="24" customHeight="1" x14ac:dyDescent="0.25">
      <c r="A90" t="s">
        <v>17</v>
      </c>
      <c r="B90">
        <v>35</v>
      </c>
      <c r="C90">
        <v>9.98</v>
      </c>
      <c r="D90" s="2">
        <v>3161462</v>
      </c>
      <c r="E90" s="2">
        <v>39869.730000000003</v>
      </c>
      <c r="F90" s="8">
        <f>VLOOKUP(T5_Weekly_Feed_Calc[[#This Row],[Sampling ABW (g)]],MAIN!$A$2:$B$10,2,TRUE)</f>
        <v>5.5</v>
      </c>
      <c r="G90" s="2">
        <f>T5_Weekly_Feed_Calc[[#This Row],[Biomass (kg)]]*T5_Weekly_Feed_Calc[[#This Row],[Feed Rate (%)]]/100</f>
        <v>2192.8351500000003</v>
      </c>
    </row>
    <row r="91" spans="1:7" ht="24" customHeight="1" x14ac:dyDescent="0.25">
      <c r="A91" t="s">
        <v>18</v>
      </c>
      <c r="B91">
        <v>35</v>
      </c>
      <c r="C91">
        <v>8.9600000000000009</v>
      </c>
      <c r="D91" s="2">
        <v>3193033</v>
      </c>
      <c r="E91" s="2">
        <v>36559.65</v>
      </c>
      <c r="F91" s="8">
        <f>VLOOKUP(T5_Weekly_Feed_Calc[[#This Row],[Sampling ABW (g)]],MAIN!$A$2:$B$10,2,TRUE)</f>
        <v>5.5</v>
      </c>
      <c r="G91" s="2">
        <f>T5_Weekly_Feed_Calc[[#This Row],[Biomass (kg)]]*T5_Weekly_Feed_Calc[[#This Row],[Feed Rate (%)]]/100</f>
        <v>2010.7807500000001</v>
      </c>
    </row>
    <row r="92" spans="1:7" ht="24" customHeight="1" x14ac:dyDescent="0.25">
      <c r="A92" t="s">
        <v>20</v>
      </c>
      <c r="B92">
        <v>35</v>
      </c>
      <c r="C92">
        <v>10.7</v>
      </c>
      <c r="D92" s="2">
        <v>2041365</v>
      </c>
      <c r="E92" s="2">
        <v>39880.75</v>
      </c>
      <c r="F92" s="8">
        <f>VLOOKUP(T5_Weekly_Feed_Calc[[#This Row],[Sampling ABW (g)]],MAIN!$A$2:$B$10,2,TRUE)</f>
        <v>4.5</v>
      </c>
      <c r="G92" s="2">
        <f>T5_Weekly_Feed_Calc[[#This Row],[Biomass (kg)]]*T5_Weekly_Feed_Calc[[#This Row],[Feed Rate (%)]]/100</f>
        <v>1794.63375</v>
      </c>
    </row>
    <row r="93" spans="1:7" ht="24" customHeight="1" x14ac:dyDescent="0.25">
      <c r="A93" t="s">
        <v>21</v>
      </c>
      <c r="B93">
        <v>35</v>
      </c>
      <c r="C93">
        <v>8.68</v>
      </c>
      <c r="D93" s="2">
        <v>3298966</v>
      </c>
      <c r="E93" s="2">
        <v>35600.61</v>
      </c>
      <c r="F93" s="8">
        <f>VLOOKUP(T5_Weekly_Feed_Calc[[#This Row],[Sampling ABW (g)]],MAIN!$A$2:$B$10,2,TRUE)</f>
        <v>5.5</v>
      </c>
      <c r="G93" s="2">
        <f>T5_Weekly_Feed_Calc[[#This Row],[Biomass (kg)]]*T5_Weekly_Feed_Calc[[#This Row],[Feed Rate (%)]]/100</f>
        <v>1958.0335500000001</v>
      </c>
    </row>
    <row r="94" spans="1:7" ht="24" customHeight="1" x14ac:dyDescent="0.25">
      <c r="A94" t="s">
        <v>22</v>
      </c>
      <c r="B94">
        <v>35</v>
      </c>
      <c r="C94">
        <v>10.53</v>
      </c>
      <c r="D94" s="2">
        <v>3281230</v>
      </c>
      <c r="E94" s="2">
        <v>42682.36</v>
      </c>
      <c r="F94" s="8">
        <f>VLOOKUP(T5_Weekly_Feed_Calc[[#This Row],[Sampling ABW (g)]],MAIN!$A$2:$B$10,2,TRUE)</f>
        <v>4.5</v>
      </c>
      <c r="G94" s="2">
        <f>T5_Weekly_Feed_Calc[[#This Row],[Biomass (kg)]]*T5_Weekly_Feed_Calc[[#This Row],[Feed Rate (%)]]/100</f>
        <v>1920.7061999999999</v>
      </c>
    </row>
    <row r="95" spans="1:7" ht="24" customHeight="1" x14ac:dyDescent="0.25">
      <c r="A95" t="s">
        <v>23</v>
      </c>
      <c r="B95">
        <v>35</v>
      </c>
      <c r="C95">
        <v>11.4</v>
      </c>
      <c r="D95" s="2">
        <v>1696449</v>
      </c>
      <c r="E95" s="2">
        <v>44328.95</v>
      </c>
      <c r="F95" s="8">
        <f>VLOOKUP(T5_Weekly_Feed_Calc[[#This Row],[Sampling ABW (g)]],MAIN!$A$2:$B$10,2,TRUE)</f>
        <v>4.5</v>
      </c>
      <c r="G95" s="2">
        <f>T5_Weekly_Feed_Calc[[#This Row],[Biomass (kg)]]*T5_Weekly_Feed_Calc[[#This Row],[Feed Rate (%)]]/100</f>
        <v>1994.8027499999998</v>
      </c>
    </row>
    <row r="96" spans="1:7" ht="24" customHeight="1" x14ac:dyDescent="0.25">
      <c r="A96" t="s">
        <v>24</v>
      </c>
      <c r="B96">
        <v>35</v>
      </c>
      <c r="C96">
        <v>10.91</v>
      </c>
      <c r="D96" s="2">
        <v>3033479</v>
      </c>
      <c r="E96" s="2">
        <v>42215.22</v>
      </c>
      <c r="F96" s="8">
        <f>VLOOKUP(T5_Weekly_Feed_Calc[[#This Row],[Sampling ABW (g)]],MAIN!$A$2:$B$10,2,TRUE)</f>
        <v>4.5</v>
      </c>
      <c r="G96" s="2">
        <f>T5_Weekly_Feed_Calc[[#This Row],[Biomass (kg)]]*T5_Weekly_Feed_Calc[[#This Row],[Feed Rate (%)]]/100</f>
        <v>1899.6849</v>
      </c>
    </row>
    <row r="97" spans="1:7" ht="24" customHeight="1" x14ac:dyDescent="0.25">
      <c r="A97" t="s">
        <v>26</v>
      </c>
      <c r="B97">
        <v>35</v>
      </c>
      <c r="C97">
        <v>11.51</v>
      </c>
      <c r="D97" s="2">
        <v>3050902</v>
      </c>
      <c r="E97" s="2">
        <v>44232.54</v>
      </c>
      <c r="F97" s="8">
        <f>VLOOKUP(T5_Weekly_Feed_Calc[[#This Row],[Sampling ABW (g)]],MAIN!$A$2:$B$10,2,TRUE)</f>
        <v>4.5</v>
      </c>
      <c r="G97" s="2">
        <f>T5_Weekly_Feed_Calc[[#This Row],[Biomass (kg)]]*T5_Weekly_Feed_Calc[[#This Row],[Feed Rate (%)]]/100</f>
        <v>1990.4642999999999</v>
      </c>
    </row>
    <row r="98" spans="1:7" ht="24" customHeight="1" x14ac:dyDescent="0.25">
      <c r="A98" t="s">
        <v>27</v>
      </c>
      <c r="B98">
        <v>35</v>
      </c>
      <c r="C98">
        <v>9.98</v>
      </c>
      <c r="D98" s="2">
        <v>3053274</v>
      </c>
      <c r="E98" s="2">
        <v>39423.69</v>
      </c>
      <c r="F98" s="8">
        <f>VLOOKUP(T5_Weekly_Feed_Calc[[#This Row],[Sampling ABW (g)]],MAIN!$A$2:$B$10,2,TRUE)</f>
        <v>5.5</v>
      </c>
      <c r="G98" s="2">
        <f>T5_Weekly_Feed_Calc[[#This Row],[Biomass (kg)]]*T5_Weekly_Feed_Calc[[#This Row],[Feed Rate (%)]]/100</f>
        <v>2168.3029500000002</v>
      </c>
    </row>
    <row r="99" spans="1:7" ht="24" customHeight="1" x14ac:dyDescent="0.25">
      <c r="A99" t="s">
        <v>28</v>
      </c>
      <c r="B99">
        <v>35</v>
      </c>
      <c r="C99">
        <v>8.1</v>
      </c>
      <c r="D99" s="2">
        <v>3164771</v>
      </c>
      <c r="E99" s="2">
        <v>32231.03</v>
      </c>
      <c r="F99" s="8">
        <f>VLOOKUP(T5_Weekly_Feed_Calc[[#This Row],[Sampling ABW (g)]],MAIN!$A$2:$B$10,2,TRUE)</f>
        <v>5.5</v>
      </c>
      <c r="G99" s="2">
        <f>T5_Weekly_Feed_Calc[[#This Row],[Biomass (kg)]]*T5_Weekly_Feed_Calc[[#This Row],[Feed Rate (%)]]/100</f>
        <v>1772.7066499999999</v>
      </c>
    </row>
    <row r="100" spans="1:7" ht="24" customHeight="1" x14ac:dyDescent="0.25">
      <c r="A100" t="s">
        <v>29</v>
      </c>
      <c r="B100">
        <v>35</v>
      </c>
      <c r="C100">
        <v>11.2</v>
      </c>
      <c r="D100" s="2">
        <v>2199210</v>
      </c>
      <c r="E100" s="2">
        <v>43915.92</v>
      </c>
      <c r="F100" s="8">
        <f>VLOOKUP(T5_Weekly_Feed_Calc[[#This Row],[Sampling ABW (g)]],MAIN!$A$2:$B$10,2,TRUE)</f>
        <v>4.5</v>
      </c>
      <c r="G100" s="2">
        <f>T5_Weekly_Feed_Calc[[#This Row],[Biomass (kg)]]*T5_Weekly_Feed_Calc[[#This Row],[Feed Rate (%)]]/100</f>
        <v>1976.2163999999998</v>
      </c>
    </row>
    <row r="101" spans="1:7" ht="24" customHeight="1" x14ac:dyDescent="0.25">
      <c r="A101" t="s">
        <v>30</v>
      </c>
      <c r="B101">
        <v>35</v>
      </c>
      <c r="C101">
        <v>9.02</v>
      </c>
      <c r="D101" s="2">
        <v>3070069</v>
      </c>
      <c r="E101" s="2">
        <v>34755.760000000002</v>
      </c>
      <c r="F101" s="8">
        <f>VLOOKUP(T5_Weekly_Feed_Calc[[#This Row],[Sampling ABW (g)]],MAIN!$A$2:$B$10,2,TRUE)</f>
        <v>5.5</v>
      </c>
      <c r="G101" s="2">
        <f>T5_Weekly_Feed_Calc[[#This Row],[Biomass (kg)]]*T5_Weekly_Feed_Calc[[#This Row],[Feed Rate (%)]]/100</f>
        <v>1911.5668000000003</v>
      </c>
    </row>
    <row r="102" spans="1:7" ht="24" customHeight="1" x14ac:dyDescent="0.25">
      <c r="A102" t="s">
        <v>8</v>
      </c>
      <c r="B102">
        <v>42</v>
      </c>
      <c r="C102">
        <v>11.53</v>
      </c>
      <c r="D102" s="2">
        <v>3075029</v>
      </c>
      <c r="E102" s="2">
        <f>T5_Weekly_Feed_Calc[[#This Row],[Pop Count]]*T5_Weekly_Feed_Calc[[#This Row],[Sampling ABW (g)]]/1000</f>
        <v>35455.084369999997</v>
      </c>
      <c r="F102" s="8">
        <f>VLOOKUP(T5_Weekly_Feed_Calc[[#This Row],[Sampling ABW (g)]],MAIN!$A$2:$B$10,2,TRUE)</f>
        <v>4.5</v>
      </c>
      <c r="G102" s="2">
        <f>T5_Weekly_Feed_Calc[[#This Row],[Biomass (kg)]]*T5_Weekly_Feed_Calc[[#This Row],[Feed Rate (%)]]/100</f>
        <v>1595.4787966499998</v>
      </c>
    </row>
    <row r="103" spans="1:7" ht="24" customHeight="1" x14ac:dyDescent="0.25">
      <c r="A103" t="s">
        <v>9</v>
      </c>
      <c r="B103">
        <v>42</v>
      </c>
      <c r="C103">
        <v>11.11</v>
      </c>
      <c r="D103" s="2">
        <v>3302483</v>
      </c>
      <c r="E103" s="2">
        <v>45802.57</v>
      </c>
      <c r="F103" s="8">
        <f>VLOOKUP(T5_Weekly_Feed_Calc[[#This Row],[Sampling ABW (g)]],MAIN!$A$2:$B$10,2,TRUE)</f>
        <v>4.5</v>
      </c>
      <c r="G103" s="2">
        <f>T5_Weekly_Feed_Calc[[#This Row],[Biomass (kg)]]*T5_Weekly_Feed_Calc[[#This Row],[Feed Rate (%)]]/100</f>
        <v>2061.1156500000002</v>
      </c>
    </row>
    <row r="104" spans="1:7" ht="24" customHeight="1" x14ac:dyDescent="0.25">
      <c r="A104" t="s">
        <v>10</v>
      </c>
      <c r="B104">
        <v>42</v>
      </c>
      <c r="C104">
        <v>10.050000000000001</v>
      </c>
      <c r="D104" s="2">
        <v>3201129</v>
      </c>
      <c r="E104" s="2">
        <v>40991.32</v>
      </c>
      <c r="F104" s="8">
        <f>VLOOKUP(T5_Weekly_Feed_Calc[[#This Row],[Sampling ABW (g)]],MAIN!$A$2:$B$10,2,TRUE)</f>
        <v>4.5</v>
      </c>
      <c r="G104" s="2">
        <f>T5_Weekly_Feed_Calc[[#This Row],[Biomass (kg)]]*T5_Weekly_Feed_Calc[[#This Row],[Feed Rate (%)]]/100</f>
        <v>1844.6094000000001</v>
      </c>
    </row>
    <row r="105" spans="1:7" ht="24" customHeight="1" x14ac:dyDescent="0.25">
      <c r="A105" t="s">
        <v>11</v>
      </c>
      <c r="B105">
        <v>42</v>
      </c>
      <c r="C105">
        <v>11.3</v>
      </c>
      <c r="D105" s="2">
        <v>2135911</v>
      </c>
      <c r="E105" s="2">
        <v>44470.03</v>
      </c>
      <c r="F105" s="8">
        <f>VLOOKUP(T5_Weekly_Feed_Calc[[#This Row],[Sampling ABW (g)]],MAIN!$A$2:$B$10,2,TRUE)</f>
        <v>4.5</v>
      </c>
      <c r="G105" s="2">
        <f>T5_Weekly_Feed_Calc[[#This Row],[Biomass (kg)]]*T5_Weekly_Feed_Calc[[#This Row],[Feed Rate (%)]]/100</f>
        <v>2001.1513500000001</v>
      </c>
    </row>
    <row r="106" spans="1:7" ht="24" customHeight="1" x14ac:dyDescent="0.25">
      <c r="A106" t="s">
        <v>12</v>
      </c>
      <c r="B106">
        <v>42</v>
      </c>
      <c r="C106">
        <v>11.16</v>
      </c>
      <c r="D106" s="2">
        <v>3031176</v>
      </c>
      <c r="E106" s="2">
        <v>41526.47</v>
      </c>
      <c r="F106" s="8">
        <f>VLOOKUP(T5_Weekly_Feed_Calc[[#This Row],[Sampling ABW (g)]],MAIN!$A$2:$B$10,2,TRUE)</f>
        <v>4.5</v>
      </c>
      <c r="G106" s="2">
        <f>T5_Weekly_Feed_Calc[[#This Row],[Biomass (kg)]]*T5_Weekly_Feed_Calc[[#This Row],[Feed Rate (%)]]/100</f>
        <v>1868.6911499999999</v>
      </c>
    </row>
    <row r="107" spans="1:7" ht="24" customHeight="1" x14ac:dyDescent="0.25">
      <c r="A107" t="s">
        <v>14</v>
      </c>
      <c r="B107">
        <v>42</v>
      </c>
      <c r="C107">
        <v>11.95</v>
      </c>
      <c r="D107" s="2">
        <v>1948899</v>
      </c>
      <c r="E107" s="2">
        <v>45807.68</v>
      </c>
      <c r="F107" s="8">
        <f>VLOOKUP(T5_Weekly_Feed_Calc[[#This Row],[Sampling ABW (g)]],MAIN!$A$2:$B$10,2,TRUE)</f>
        <v>4.5</v>
      </c>
      <c r="G107" s="2">
        <f>T5_Weekly_Feed_Calc[[#This Row],[Biomass (kg)]]*T5_Weekly_Feed_Calc[[#This Row],[Feed Rate (%)]]/100</f>
        <v>2061.3456000000001</v>
      </c>
    </row>
    <row r="108" spans="1:7" ht="24" customHeight="1" x14ac:dyDescent="0.25">
      <c r="A108" t="s">
        <v>15</v>
      </c>
      <c r="B108">
        <v>42</v>
      </c>
      <c r="C108">
        <v>11.2</v>
      </c>
      <c r="D108" s="2">
        <v>1803364</v>
      </c>
      <c r="E108" s="2">
        <v>42287.61</v>
      </c>
      <c r="F108" s="8">
        <f>VLOOKUP(T5_Weekly_Feed_Calc[[#This Row],[Sampling ABW (g)]],MAIN!$A$2:$B$10,2,TRUE)</f>
        <v>4.5</v>
      </c>
      <c r="G108" s="2">
        <f>T5_Weekly_Feed_Calc[[#This Row],[Biomass (kg)]]*T5_Weekly_Feed_Calc[[#This Row],[Feed Rate (%)]]/100</f>
        <v>1902.94245</v>
      </c>
    </row>
    <row r="109" spans="1:7" ht="24" customHeight="1" x14ac:dyDescent="0.25">
      <c r="A109" t="s">
        <v>16</v>
      </c>
      <c r="B109">
        <v>42</v>
      </c>
      <c r="C109">
        <v>11.23</v>
      </c>
      <c r="D109" s="2">
        <v>2233680</v>
      </c>
      <c r="E109" s="2">
        <v>46844.59</v>
      </c>
      <c r="F109" s="8">
        <f>VLOOKUP(T5_Weekly_Feed_Calc[[#This Row],[Sampling ABW (g)]],MAIN!$A$2:$B$10,2,TRUE)</f>
        <v>4.5</v>
      </c>
      <c r="G109" s="2">
        <f>T5_Weekly_Feed_Calc[[#This Row],[Biomass (kg)]]*T5_Weekly_Feed_Calc[[#This Row],[Feed Rate (%)]]/100</f>
        <v>2108.0065499999996</v>
      </c>
    </row>
    <row r="110" spans="1:7" ht="24" customHeight="1" x14ac:dyDescent="0.25">
      <c r="A110" t="s">
        <v>17</v>
      </c>
      <c r="B110">
        <v>42</v>
      </c>
      <c r="C110">
        <v>11.32</v>
      </c>
      <c r="D110" s="2">
        <v>3146667</v>
      </c>
      <c r="E110" s="2">
        <v>44258.239999999998</v>
      </c>
      <c r="F110" s="8">
        <f>VLOOKUP(T5_Weekly_Feed_Calc[[#This Row],[Sampling ABW (g)]],MAIN!$A$2:$B$10,2,TRUE)</f>
        <v>4.5</v>
      </c>
      <c r="G110" s="2">
        <f>T5_Weekly_Feed_Calc[[#This Row],[Biomass (kg)]]*T5_Weekly_Feed_Calc[[#This Row],[Feed Rate (%)]]/100</f>
        <v>1991.6207999999999</v>
      </c>
    </row>
    <row r="111" spans="1:7" ht="24" customHeight="1" x14ac:dyDescent="0.25">
      <c r="A111" t="s">
        <v>18</v>
      </c>
      <c r="B111">
        <v>42</v>
      </c>
      <c r="C111">
        <v>10.52</v>
      </c>
      <c r="D111" s="2">
        <v>3188606</v>
      </c>
      <c r="E111" s="2">
        <v>41924.32</v>
      </c>
      <c r="F111" s="8">
        <f>VLOOKUP(T5_Weekly_Feed_Calc[[#This Row],[Sampling ABW (g)]],MAIN!$A$2:$B$10,2,TRUE)</f>
        <v>4.5</v>
      </c>
      <c r="G111" s="2">
        <f>T5_Weekly_Feed_Calc[[#This Row],[Biomass (kg)]]*T5_Weekly_Feed_Calc[[#This Row],[Feed Rate (%)]]/100</f>
        <v>1886.5944</v>
      </c>
    </row>
    <row r="112" spans="1:7" ht="24" customHeight="1" x14ac:dyDescent="0.25">
      <c r="A112" t="s">
        <v>20</v>
      </c>
      <c r="B112">
        <v>42</v>
      </c>
      <c r="C112">
        <v>12.15</v>
      </c>
      <c r="D112" s="2">
        <v>2023185</v>
      </c>
      <c r="E112" s="2">
        <v>44254.04</v>
      </c>
      <c r="F112" s="8">
        <f>VLOOKUP(T5_Weekly_Feed_Calc[[#This Row],[Sampling ABW (g)]],MAIN!$A$2:$B$10,2,TRUE)</f>
        <v>4.5</v>
      </c>
      <c r="G112" s="2">
        <f>T5_Weekly_Feed_Calc[[#This Row],[Biomass (kg)]]*T5_Weekly_Feed_Calc[[#This Row],[Feed Rate (%)]]/100</f>
        <v>1991.4317999999998</v>
      </c>
    </row>
    <row r="113" spans="1:7" ht="24" customHeight="1" x14ac:dyDescent="0.25">
      <c r="A113" t="s">
        <v>21</v>
      </c>
      <c r="B113">
        <v>42</v>
      </c>
      <c r="C113">
        <v>10.46</v>
      </c>
      <c r="D113" s="2">
        <v>3293415</v>
      </c>
      <c r="E113" s="2">
        <v>41803.85</v>
      </c>
      <c r="F113" s="8">
        <f>VLOOKUP(T5_Weekly_Feed_Calc[[#This Row],[Sampling ABW (g)]],MAIN!$A$2:$B$10,2,TRUE)</f>
        <v>4.5</v>
      </c>
      <c r="G113" s="2">
        <f>T5_Weekly_Feed_Calc[[#This Row],[Biomass (kg)]]*T5_Weekly_Feed_Calc[[#This Row],[Feed Rate (%)]]/100</f>
        <v>1881.1732499999998</v>
      </c>
    </row>
    <row r="114" spans="1:7" ht="24" customHeight="1" x14ac:dyDescent="0.25">
      <c r="A114" t="s">
        <v>22</v>
      </c>
      <c r="B114">
        <v>42</v>
      </c>
      <c r="C114">
        <v>12.13</v>
      </c>
      <c r="D114" s="2">
        <v>3267492</v>
      </c>
      <c r="E114" s="2">
        <v>48001.38</v>
      </c>
      <c r="F114" s="8">
        <f>VLOOKUP(T5_Weekly_Feed_Calc[[#This Row],[Sampling ABW (g)]],MAIN!$A$2:$B$10,2,TRUE)</f>
        <v>4.5</v>
      </c>
      <c r="G114" s="2">
        <f>T5_Weekly_Feed_Calc[[#This Row],[Biomass (kg)]]*T5_Weekly_Feed_Calc[[#This Row],[Feed Rate (%)]]/100</f>
        <v>2160.0621000000001</v>
      </c>
    </row>
    <row r="115" spans="1:7" ht="24" customHeight="1" x14ac:dyDescent="0.25">
      <c r="A115" t="s">
        <v>23</v>
      </c>
      <c r="B115">
        <v>42</v>
      </c>
      <c r="C115">
        <v>12.55</v>
      </c>
      <c r="D115" s="2">
        <v>1681494</v>
      </c>
      <c r="E115" s="2">
        <v>48233.77</v>
      </c>
      <c r="F115" s="8">
        <f>VLOOKUP(T5_Weekly_Feed_Calc[[#This Row],[Sampling ABW (g)]],MAIN!$A$2:$B$10,2,TRUE)</f>
        <v>4.5</v>
      </c>
      <c r="G115" s="2">
        <f>T5_Weekly_Feed_Calc[[#This Row],[Biomass (kg)]]*T5_Weekly_Feed_Calc[[#This Row],[Feed Rate (%)]]/100</f>
        <v>2170.5196500000002</v>
      </c>
    </row>
    <row r="116" spans="1:7" ht="24" customHeight="1" x14ac:dyDescent="0.25">
      <c r="A116" t="s">
        <v>24</v>
      </c>
      <c r="B116">
        <v>42</v>
      </c>
      <c r="C116">
        <v>11.97</v>
      </c>
      <c r="D116" s="2">
        <v>3029578</v>
      </c>
      <c r="E116" s="2">
        <v>45238.03</v>
      </c>
      <c r="F116" s="8">
        <f>VLOOKUP(T5_Weekly_Feed_Calc[[#This Row],[Sampling ABW (g)]],MAIN!$A$2:$B$10,2,TRUE)</f>
        <v>4.5</v>
      </c>
      <c r="G116" s="2">
        <f>T5_Weekly_Feed_Calc[[#This Row],[Biomass (kg)]]*T5_Weekly_Feed_Calc[[#This Row],[Feed Rate (%)]]/100</f>
        <v>2035.71135</v>
      </c>
    </row>
    <row r="117" spans="1:7" ht="24" customHeight="1" x14ac:dyDescent="0.25">
      <c r="A117" t="s">
        <v>26</v>
      </c>
      <c r="B117">
        <v>42</v>
      </c>
      <c r="C117">
        <v>13.09</v>
      </c>
      <c r="D117" s="2">
        <v>3035310</v>
      </c>
      <c r="E117" s="2">
        <v>49361.919999999998</v>
      </c>
      <c r="F117" s="8">
        <f>VLOOKUP(T5_Weekly_Feed_Calc[[#This Row],[Sampling ABW (g)]],MAIN!$A$2:$B$10,2,TRUE)</f>
        <v>4.5</v>
      </c>
      <c r="G117" s="2">
        <f>T5_Weekly_Feed_Calc[[#This Row],[Biomass (kg)]]*T5_Weekly_Feed_Calc[[#This Row],[Feed Rate (%)]]/100</f>
        <v>2221.2864</v>
      </c>
    </row>
    <row r="118" spans="1:7" ht="24" customHeight="1" x14ac:dyDescent="0.25">
      <c r="A118" t="s">
        <v>27</v>
      </c>
      <c r="B118">
        <v>42</v>
      </c>
      <c r="C118">
        <v>11</v>
      </c>
      <c r="D118" s="2">
        <v>3050933</v>
      </c>
      <c r="E118" s="2">
        <v>43116.13</v>
      </c>
      <c r="F118" s="8">
        <f>VLOOKUP(T5_Weekly_Feed_Calc[[#This Row],[Sampling ABW (g)]],MAIN!$A$2:$B$10,2,TRUE)</f>
        <v>4.5</v>
      </c>
      <c r="G118" s="2">
        <f>T5_Weekly_Feed_Calc[[#This Row],[Biomass (kg)]]*T5_Weekly_Feed_Calc[[#This Row],[Feed Rate (%)]]/100</f>
        <v>1940.2258499999998</v>
      </c>
    </row>
    <row r="119" spans="1:7" ht="24" customHeight="1" x14ac:dyDescent="0.25">
      <c r="A119" t="s">
        <v>28</v>
      </c>
      <c r="B119">
        <v>42</v>
      </c>
      <c r="C119">
        <v>9.6300000000000008</v>
      </c>
      <c r="D119" s="2">
        <v>3151379</v>
      </c>
      <c r="E119" s="2">
        <v>37365.300000000003</v>
      </c>
      <c r="F119" s="8">
        <f>VLOOKUP(T5_Weekly_Feed_Calc[[#This Row],[Sampling ABW (g)]],MAIN!$A$2:$B$10,2,TRUE)</f>
        <v>5.5</v>
      </c>
      <c r="G119" s="2">
        <f>T5_Weekly_Feed_Calc[[#This Row],[Biomass (kg)]]*T5_Weekly_Feed_Calc[[#This Row],[Feed Rate (%)]]/100</f>
        <v>2055.0915000000005</v>
      </c>
    </row>
    <row r="120" spans="1:7" ht="24" customHeight="1" x14ac:dyDescent="0.25">
      <c r="A120" t="s">
        <v>29</v>
      </c>
      <c r="B120">
        <v>42</v>
      </c>
      <c r="C120">
        <v>13.04</v>
      </c>
      <c r="D120" s="2">
        <v>2170300</v>
      </c>
      <c r="E120" s="2">
        <v>50711.31</v>
      </c>
      <c r="F120" s="8">
        <f>VLOOKUP(T5_Weekly_Feed_Calc[[#This Row],[Sampling ABW (g)]],MAIN!$A$2:$B$10,2,TRUE)</f>
        <v>4.5</v>
      </c>
      <c r="G120" s="2">
        <f>T5_Weekly_Feed_Calc[[#This Row],[Biomass (kg)]]*T5_Weekly_Feed_Calc[[#This Row],[Feed Rate (%)]]/100</f>
        <v>2282.0089499999999</v>
      </c>
    </row>
    <row r="121" spans="1:7" ht="24" customHeight="1" x14ac:dyDescent="0.25">
      <c r="A121" t="s">
        <v>30</v>
      </c>
      <c r="B121">
        <v>42</v>
      </c>
      <c r="C121">
        <v>10.54</v>
      </c>
      <c r="D121" s="2">
        <v>3059054</v>
      </c>
      <c r="E121" s="2">
        <v>39819.360000000001</v>
      </c>
      <c r="F121" s="8">
        <f>VLOOKUP(T5_Weekly_Feed_Calc[[#This Row],[Sampling ABW (g)]],MAIN!$A$2:$B$10,2,TRUE)</f>
        <v>4.5</v>
      </c>
      <c r="G121" s="2">
        <f>T5_Weekly_Feed_Calc[[#This Row],[Biomass (kg)]]*T5_Weekly_Feed_Calc[[#This Row],[Feed Rate (%)]]/100</f>
        <v>1791.8712</v>
      </c>
    </row>
    <row r="122" spans="1:7" ht="24" customHeight="1" x14ac:dyDescent="0.25">
      <c r="A122" t="s">
        <v>8</v>
      </c>
      <c r="B122">
        <v>49</v>
      </c>
      <c r="C122">
        <v>12.62</v>
      </c>
      <c r="D122" s="2">
        <v>3070979</v>
      </c>
      <c r="E122" s="2">
        <f>T5_Weekly_Feed_Calc[[#This Row],[Pop Count]]*T5_Weekly_Feed_Calc[[#This Row],[Sampling ABW (g)]]/1000</f>
        <v>38755.754979999998</v>
      </c>
      <c r="F122" s="8">
        <f>VLOOKUP(T5_Weekly_Feed_Calc[[#This Row],[Sampling ABW (g)]],MAIN!$A$2:$B$10,2,TRUE)</f>
        <v>4.5</v>
      </c>
      <c r="G122" s="2">
        <f>T5_Weekly_Feed_Calc[[#This Row],[Biomass (kg)]]*T5_Weekly_Feed_Calc[[#This Row],[Feed Rate (%)]]/100</f>
        <v>1744.0089740999997</v>
      </c>
    </row>
    <row r="123" spans="1:7" ht="24" customHeight="1" x14ac:dyDescent="0.25">
      <c r="A123" t="s">
        <v>9</v>
      </c>
      <c r="B123">
        <v>49</v>
      </c>
      <c r="C123">
        <v>12.92</v>
      </c>
      <c r="D123" s="2">
        <v>3288247</v>
      </c>
      <c r="E123" s="2">
        <v>52784.639999999999</v>
      </c>
      <c r="F123" s="8">
        <f>VLOOKUP(T5_Weekly_Feed_Calc[[#This Row],[Sampling ABW (g)]],MAIN!$A$2:$B$10,2,TRUE)</f>
        <v>4.5</v>
      </c>
      <c r="G123" s="2">
        <f>T5_Weekly_Feed_Calc[[#This Row],[Biomass (kg)]]*T5_Weekly_Feed_Calc[[#This Row],[Feed Rate (%)]]/100</f>
        <v>2375.3088000000002</v>
      </c>
    </row>
    <row r="124" spans="1:7" ht="24" customHeight="1" x14ac:dyDescent="0.25">
      <c r="A124" t="s">
        <v>10</v>
      </c>
      <c r="B124">
        <v>49</v>
      </c>
      <c r="C124">
        <v>11.5</v>
      </c>
      <c r="D124" s="2">
        <v>3197070</v>
      </c>
      <c r="E124" s="2">
        <v>45839.24</v>
      </c>
      <c r="F124" s="8">
        <f>VLOOKUP(T5_Weekly_Feed_Calc[[#This Row],[Sampling ABW (g)]],MAIN!$A$2:$B$10,2,TRUE)</f>
        <v>4.5</v>
      </c>
      <c r="G124" s="2">
        <f>T5_Weekly_Feed_Calc[[#This Row],[Biomass (kg)]]*T5_Weekly_Feed_Calc[[#This Row],[Feed Rate (%)]]/100</f>
        <v>2062.7657999999997</v>
      </c>
    </row>
    <row r="125" spans="1:7" ht="24" customHeight="1" x14ac:dyDescent="0.25">
      <c r="A125" t="s">
        <v>11</v>
      </c>
      <c r="B125">
        <v>49</v>
      </c>
      <c r="C125">
        <v>13.04</v>
      </c>
      <c r="D125" s="2">
        <v>2078634</v>
      </c>
      <c r="E125" s="2">
        <v>50558.7</v>
      </c>
      <c r="F125" s="8">
        <f>VLOOKUP(T5_Weekly_Feed_Calc[[#This Row],[Sampling ABW (g)]],MAIN!$A$2:$B$10,2,TRUE)</f>
        <v>4.5</v>
      </c>
      <c r="G125" s="2">
        <f>T5_Weekly_Feed_Calc[[#This Row],[Biomass (kg)]]*T5_Weekly_Feed_Calc[[#This Row],[Feed Rate (%)]]/100</f>
        <v>2275.1414999999997</v>
      </c>
    </row>
    <row r="126" spans="1:7" ht="24" customHeight="1" x14ac:dyDescent="0.25">
      <c r="A126" t="s">
        <v>12</v>
      </c>
      <c r="B126">
        <v>49</v>
      </c>
      <c r="C126">
        <v>12.45</v>
      </c>
      <c r="D126" s="2">
        <v>3026647</v>
      </c>
      <c r="E126" s="2">
        <v>45214.26</v>
      </c>
      <c r="F126" s="8">
        <f>VLOOKUP(T5_Weekly_Feed_Calc[[#This Row],[Sampling ABW (g)]],MAIN!$A$2:$B$10,2,TRUE)</f>
        <v>4.5</v>
      </c>
      <c r="G126" s="2">
        <f>T5_Weekly_Feed_Calc[[#This Row],[Biomass (kg)]]*T5_Weekly_Feed_Calc[[#This Row],[Feed Rate (%)]]/100</f>
        <v>2034.6417000000001</v>
      </c>
    </row>
    <row r="127" spans="1:7" ht="24" customHeight="1" x14ac:dyDescent="0.25">
      <c r="A127" t="s">
        <v>14</v>
      </c>
      <c r="B127">
        <v>49</v>
      </c>
      <c r="C127">
        <v>13.75</v>
      </c>
      <c r="D127" s="2">
        <v>1932379</v>
      </c>
      <c r="E127" s="2">
        <v>51992.33</v>
      </c>
      <c r="F127" s="8">
        <f>VLOOKUP(T5_Weekly_Feed_Calc[[#This Row],[Sampling ABW (g)]],MAIN!$A$2:$B$10,2,TRUE)</f>
        <v>4.5</v>
      </c>
      <c r="G127" s="2">
        <f>T5_Weekly_Feed_Calc[[#This Row],[Biomass (kg)]]*T5_Weekly_Feed_Calc[[#This Row],[Feed Rate (%)]]/100</f>
        <v>2339.6548500000004</v>
      </c>
    </row>
    <row r="128" spans="1:7" ht="24" customHeight="1" x14ac:dyDescent="0.25">
      <c r="A128" t="s">
        <v>15</v>
      </c>
      <c r="B128">
        <v>49</v>
      </c>
      <c r="C128">
        <v>12.55</v>
      </c>
      <c r="D128" s="2">
        <v>1759038</v>
      </c>
      <c r="E128" s="2">
        <v>46617.74</v>
      </c>
      <c r="F128" s="8">
        <f>VLOOKUP(T5_Weekly_Feed_Calc[[#This Row],[Sampling ABW (g)]],MAIN!$A$2:$B$10,2,TRUE)</f>
        <v>4.5</v>
      </c>
      <c r="G128" s="2">
        <f>T5_Weekly_Feed_Calc[[#This Row],[Biomass (kg)]]*T5_Weekly_Feed_Calc[[#This Row],[Feed Rate (%)]]/100</f>
        <v>2097.7982999999999</v>
      </c>
    </row>
    <row r="129" spans="1:7" ht="24" customHeight="1" x14ac:dyDescent="0.25">
      <c r="A129" t="s">
        <v>16</v>
      </c>
      <c r="B129">
        <v>49</v>
      </c>
      <c r="C129">
        <v>12.24</v>
      </c>
      <c r="D129" s="2">
        <v>2205780</v>
      </c>
      <c r="E129" s="2">
        <v>50687.7</v>
      </c>
      <c r="F129" s="8">
        <f>VLOOKUP(T5_Weekly_Feed_Calc[[#This Row],[Sampling ABW (g)]],MAIN!$A$2:$B$10,2,TRUE)</f>
        <v>4.5</v>
      </c>
      <c r="G129" s="2">
        <f>T5_Weekly_Feed_Calc[[#This Row],[Biomass (kg)]]*T5_Weekly_Feed_Calc[[#This Row],[Feed Rate (%)]]/100</f>
        <v>2280.9465</v>
      </c>
    </row>
    <row r="130" spans="1:7" ht="24" customHeight="1" x14ac:dyDescent="0.25">
      <c r="A130" t="s">
        <v>17</v>
      </c>
      <c r="B130">
        <v>49</v>
      </c>
      <c r="C130">
        <v>13.13</v>
      </c>
      <c r="D130" s="2">
        <v>3137468</v>
      </c>
      <c r="E130" s="2">
        <v>50431.99</v>
      </c>
      <c r="F130" s="8">
        <f>VLOOKUP(T5_Weekly_Feed_Calc[[#This Row],[Sampling ABW (g)]],MAIN!$A$2:$B$10,2,TRUE)</f>
        <v>4.5</v>
      </c>
      <c r="G130" s="2">
        <f>T5_Weekly_Feed_Calc[[#This Row],[Biomass (kg)]]*T5_Weekly_Feed_Calc[[#This Row],[Feed Rate (%)]]/100</f>
        <v>2269.4395500000001</v>
      </c>
    </row>
    <row r="131" spans="1:7" ht="24" customHeight="1" x14ac:dyDescent="0.25">
      <c r="A131" t="s">
        <v>18</v>
      </c>
      <c r="B131">
        <v>49</v>
      </c>
      <c r="C131">
        <v>11.61</v>
      </c>
      <c r="D131" s="2">
        <v>3184841</v>
      </c>
      <c r="E131" s="2">
        <v>45187.9</v>
      </c>
      <c r="F131" s="8">
        <f>VLOOKUP(T5_Weekly_Feed_Calc[[#This Row],[Sampling ABW (g)]],MAIN!$A$2:$B$10,2,TRUE)</f>
        <v>4.5</v>
      </c>
      <c r="G131" s="2">
        <f>T5_Weekly_Feed_Calc[[#This Row],[Biomass (kg)]]*T5_Weekly_Feed_Calc[[#This Row],[Feed Rate (%)]]/100</f>
        <v>2033.4555000000003</v>
      </c>
    </row>
    <row r="132" spans="1:7" ht="24" customHeight="1" x14ac:dyDescent="0.25">
      <c r="A132" t="s">
        <v>20</v>
      </c>
      <c r="B132">
        <v>49</v>
      </c>
      <c r="C132">
        <v>13.44</v>
      </c>
      <c r="D132" s="2">
        <v>2000535</v>
      </c>
      <c r="E132" s="2">
        <v>47858</v>
      </c>
      <c r="F132" s="8">
        <f>VLOOKUP(T5_Weekly_Feed_Calc[[#This Row],[Sampling ABW (g)]],MAIN!$A$2:$B$10,2,TRUE)</f>
        <v>4.5</v>
      </c>
      <c r="G132" s="2">
        <f>T5_Weekly_Feed_Calc[[#This Row],[Biomass (kg)]]*T5_Weekly_Feed_Calc[[#This Row],[Feed Rate (%)]]/100</f>
        <v>2153.61</v>
      </c>
    </row>
    <row r="133" spans="1:7" ht="24" customHeight="1" x14ac:dyDescent="0.25">
      <c r="A133" t="s">
        <v>21</v>
      </c>
      <c r="B133">
        <v>49</v>
      </c>
      <c r="C133">
        <v>12.31</v>
      </c>
      <c r="D133" s="2">
        <v>3283040</v>
      </c>
      <c r="E133" s="2">
        <v>48739.95</v>
      </c>
      <c r="F133" s="8">
        <f>VLOOKUP(T5_Weekly_Feed_Calc[[#This Row],[Sampling ABW (g)]],MAIN!$A$2:$B$10,2,TRUE)</f>
        <v>4.5</v>
      </c>
      <c r="G133" s="2">
        <f>T5_Weekly_Feed_Calc[[#This Row],[Biomass (kg)]]*T5_Weekly_Feed_Calc[[#This Row],[Feed Rate (%)]]/100</f>
        <v>2193.2977499999997</v>
      </c>
    </row>
    <row r="134" spans="1:7" ht="24" customHeight="1" x14ac:dyDescent="0.25">
      <c r="A134" t="s">
        <v>22</v>
      </c>
      <c r="B134">
        <v>49</v>
      </c>
      <c r="C134">
        <v>13.98</v>
      </c>
      <c r="D134" s="2">
        <v>3259911</v>
      </c>
      <c r="E134" s="2">
        <v>54647.53</v>
      </c>
      <c r="F134" s="8">
        <f>VLOOKUP(T5_Weekly_Feed_Calc[[#This Row],[Sampling ABW (g)]],MAIN!$A$2:$B$10,2,TRUE)</f>
        <v>4.5</v>
      </c>
      <c r="G134" s="2">
        <f>T5_Weekly_Feed_Calc[[#This Row],[Biomass (kg)]]*T5_Weekly_Feed_Calc[[#This Row],[Feed Rate (%)]]/100</f>
        <v>2459.1388500000003</v>
      </c>
    </row>
    <row r="135" spans="1:7" ht="24" customHeight="1" x14ac:dyDescent="0.25">
      <c r="A135" t="s">
        <v>23</v>
      </c>
      <c r="B135">
        <v>49</v>
      </c>
      <c r="C135">
        <v>14.06</v>
      </c>
      <c r="D135" s="2">
        <v>1653333</v>
      </c>
      <c r="E135" s="2">
        <v>52819.18</v>
      </c>
      <c r="F135" s="8">
        <f>VLOOKUP(T5_Weekly_Feed_Calc[[#This Row],[Sampling ABW (g)]],MAIN!$A$2:$B$10,2,TRUE)</f>
        <v>4.5</v>
      </c>
      <c r="G135" s="2">
        <f>T5_Weekly_Feed_Calc[[#This Row],[Biomass (kg)]]*T5_Weekly_Feed_Calc[[#This Row],[Feed Rate (%)]]/100</f>
        <v>2376.8631</v>
      </c>
    </row>
    <row r="136" spans="1:7" ht="24" customHeight="1" x14ac:dyDescent="0.25">
      <c r="A136" t="s">
        <v>24</v>
      </c>
      <c r="B136">
        <v>49</v>
      </c>
      <c r="C136">
        <v>13.54</v>
      </c>
      <c r="D136" s="2">
        <v>3022149</v>
      </c>
      <c r="E136" s="2">
        <v>49971.54</v>
      </c>
      <c r="F136" s="8">
        <f>VLOOKUP(T5_Weekly_Feed_Calc[[#This Row],[Sampling ABW (g)]],MAIN!$A$2:$B$10,2,TRUE)</f>
        <v>4.5</v>
      </c>
      <c r="G136" s="2">
        <f>T5_Weekly_Feed_Calc[[#This Row],[Biomass (kg)]]*T5_Weekly_Feed_Calc[[#This Row],[Feed Rate (%)]]/100</f>
        <v>2248.7192999999997</v>
      </c>
    </row>
    <row r="137" spans="1:7" ht="24" customHeight="1" x14ac:dyDescent="0.25">
      <c r="A137" t="s">
        <v>26</v>
      </c>
      <c r="B137">
        <v>49</v>
      </c>
      <c r="C137">
        <v>14.49</v>
      </c>
      <c r="D137" s="2">
        <v>3030212</v>
      </c>
      <c r="E137" s="2">
        <v>54056.25</v>
      </c>
      <c r="F137" s="8">
        <f>VLOOKUP(T5_Weekly_Feed_Calc[[#This Row],[Sampling ABW (g)]],MAIN!$A$2:$B$10,2,TRUE)</f>
        <v>4.5</v>
      </c>
      <c r="G137" s="2">
        <f>T5_Weekly_Feed_Calc[[#This Row],[Biomass (kg)]]*T5_Weekly_Feed_Calc[[#This Row],[Feed Rate (%)]]/100</f>
        <v>2432.53125</v>
      </c>
    </row>
    <row r="138" spans="1:7" ht="24" customHeight="1" x14ac:dyDescent="0.25">
      <c r="A138" t="s">
        <v>27</v>
      </c>
      <c r="B138">
        <v>49</v>
      </c>
      <c r="C138">
        <v>12.27</v>
      </c>
      <c r="D138" s="2">
        <v>3048590</v>
      </c>
      <c r="E138" s="2">
        <v>46936.76</v>
      </c>
      <c r="F138" s="8">
        <f>VLOOKUP(T5_Weekly_Feed_Calc[[#This Row],[Sampling ABW (g)]],MAIN!$A$2:$B$10,2,TRUE)</f>
        <v>4.5</v>
      </c>
      <c r="G138" s="2">
        <f>T5_Weekly_Feed_Calc[[#This Row],[Biomass (kg)]]*T5_Weekly_Feed_Calc[[#This Row],[Feed Rate (%)]]/100</f>
        <v>2112.1541999999999</v>
      </c>
    </row>
    <row r="139" spans="1:7" ht="24" customHeight="1" x14ac:dyDescent="0.25">
      <c r="A139" t="s">
        <v>28</v>
      </c>
      <c r="B139">
        <v>49</v>
      </c>
      <c r="C139">
        <v>10.93</v>
      </c>
      <c r="D139" s="2">
        <v>3137972</v>
      </c>
      <c r="E139" s="2">
        <v>42029.58</v>
      </c>
      <c r="F139" s="8">
        <f>VLOOKUP(T5_Weekly_Feed_Calc[[#This Row],[Sampling ABW (g)]],MAIN!$A$2:$B$10,2,TRUE)</f>
        <v>4.5</v>
      </c>
      <c r="G139" s="2">
        <f>T5_Weekly_Feed_Calc[[#This Row],[Biomass (kg)]]*T5_Weekly_Feed_Calc[[#This Row],[Feed Rate (%)]]/100</f>
        <v>1891.3311000000001</v>
      </c>
    </row>
    <row r="140" spans="1:7" ht="24" customHeight="1" x14ac:dyDescent="0.25">
      <c r="A140" t="s">
        <v>29</v>
      </c>
      <c r="B140">
        <v>49</v>
      </c>
      <c r="C140">
        <v>14.65</v>
      </c>
      <c r="D140" s="2">
        <v>2160300</v>
      </c>
      <c r="E140" s="2">
        <v>56333.11</v>
      </c>
      <c r="F140" s="8">
        <f>VLOOKUP(T5_Weekly_Feed_Calc[[#This Row],[Sampling ABW (g)]],MAIN!$A$2:$B$10,2,TRUE)</f>
        <v>4.5</v>
      </c>
      <c r="G140" s="2">
        <f>T5_Weekly_Feed_Calc[[#This Row],[Biomass (kg)]]*T5_Weekly_Feed_Calc[[#This Row],[Feed Rate (%)]]/100</f>
        <v>2534.9899500000001</v>
      </c>
    </row>
    <row r="141" spans="1:7" ht="24" customHeight="1" x14ac:dyDescent="0.25">
      <c r="A141" t="s">
        <v>30</v>
      </c>
      <c r="B141">
        <v>49</v>
      </c>
      <c r="C141">
        <v>12.21</v>
      </c>
      <c r="D141" s="2">
        <v>3051684</v>
      </c>
      <c r="E141" s="2">
        <v>45078.77</v>
      </c>
      <c r="F141" s="8">
        <f>VLOOKUP(T5_Weekly_Feed_Calc[[#This Row],[Sampling ABW (g)]],MAIN!$A$2:$B$10,2,TRUE)</f>
        <v>4.5</v>
      </c>
      <c r="G141" s="2">
        <f>T5_Weekly_Feed_Calc[[#This Row],[Biomass (kg)]]*T5_Weekly_Feed_Calc[[#This Row],[Feed Rate (%)]]/100</f>
        <v>2028.54465</v>
      </c>
    </row>
    <row r="142" spans="1:7" ht="24" customHeight="1" x14ac:dyDescent="0.25">
      <c r="A142" t="s">
        <v>8</v>
      </c>
      <c r="B142">
        <v>56</v>
      </c>
      <c r="C142">
        <v>13.73</v>
      </c>
      <c r="D142" s="2">
        <v>3062762</v>
      </c>
      <c r="E142" s="2">
        <f>T5_Weekly_Feed_Calc[[#This Row],[Pop Count]]*T5_Weekly_Feed_Calc[[#This Row],[Sampling ABW (g)]]/1000</f>
        <v>42051.722259999995</v>
      </c>
      <c r="F142" s="8">
        <f>VLOOKUP(T5_Weekly_Feed_Calc[[#This Row],[Sampling ABW (g)]],MAIN!$A$2:$B$10,2,TRUE)</f>
        <v>4.5</v>
      </c>
      <c r="G142" s="2">
        <f>T5_Weekly_Feed_Calc[[#This Row],[Biomass (kg)]]*T5_Weekly_Feed_Calc[[#This Row],[Feed Rate (%)]]/100</f>
        <v>1892.3275016999999</v>
      </c>
    </row>
    <row r="143" spans="1:7" ht="24" customHeight="1" x14ac:dyDescent="0.25">
      <c r="A143" t="s">
        <v>9</v>
      </c>
      <c r="B143">
        <v>56</v>
      </c>
      <c r="C143">
        <v>14.5</v>
      </c>
      <c r="D143" s="2">
        <v>3285824</v>
      </c>
      <c r="E143" s="2">
        <v>58600.1</v>
      </c>
      <c r="F143" s="8">
        <f>VLOOKUP(T5_Weekly_Feed_Calc[[#This Row],[Sampling ABW (g)]],MAIN!$A$2:$B$10,2,TRUE)</f>
        <v>4.5</v>
      </c>
      <c r="G143" s="2">
        <f>T5_Weekly_Feed_Calc[[#This Row],[Biomass (kg)]]*T5_Weekly_Feed_Calc[[#This Row],[Feed Rate (%)]]/100</f>
        <v>2637.0045</v>
      </c>
    </row>
    <row r="144" spans="1:7" ht="24" customHeight="1" x14ac:dyDescent="0.25">
      <c r="A144" t="s">
        <v>10</v>
      </c>
      <c r="B144">
        <v>56</v>
      </c>
      <c r="C144">
        <v>13.17</v>
      </c>
      <c r="D144" s="2">
        <v>3183665</v>
      </c>
      <c r="E144" s="2">
        <v>51665.65</v>
      </c>
      <c r="F144" s="8">
        <f>VLOOKUP(T5_Weekly_Feed_Calc[[#This Row],[Sampling ABW (g)]],MAIN!$A$2:$B$10,2,TRUE)</f>
        <v>4.5</v>
      </c>
      <c r="G144" s="2">
        <f>T5_Weekly_Feed_Calc[[#This Row],[Biomass (kg)]]*T5_Weekly_Feed_Calc[[#This Row],[Feed Rate (%)]]/100</f>
        <v>2324.9542500000002</v>
      </c>
    </row>
    <row r="145" spans="1:7" ht="24" customHeight="1" x14ac:dyDescent="0.25">
      <c r="A145" t="s">
        <v>11</v>
      </c>
      <c r="B145">
        <v>56</v>
      </c>
      <c r="C145">
        <v>14.57</v>
      </c>
      <c r="D145" s="2">
        <v>2056410</v>
      </c>
      <c r="E145" s="2">
        <v>55768.18</v>
      </c>
      <c r="F145" s="8">
        <f>VLOOKUP(T5_Weekly_Feed_Calc[[#This Row],[Sampling ABW (g)]],MAIN!$A$2:$B$10,2,TRUE)</f>
        <v>4.5</v>
      </c>
      <c r="G145" s="2">
        <f>T5_Weekly_Feed_Calc[[#This Row],[Biomass (kg)]]*T5_Weekly_Feed_Calc[[#This Row],[Feed Rate (%)]]/100</f>
        <v>2509.5681</v>
      </c>
    </row>
    <row r="146" spans="1:7" ht="24" customHeight="1" x14ac:dyDescent="0.25">
      <c r="A146" t="s">
        <v>12</v>
      </c>
      <c r="B146">
        <v>56</v>
      </c>
      <c r="C146">
        <v>14.31</v>
      </c>
      <c r="D146" s="2">
        <v>3018859</v>
      </c>
      <c r="E146" s="2">
        <v>51299.16</v>
      </c>
      <c r="F146" s="8">
        <f>VLOOKUP(T5_Weekly_Feed_Calc[[#This Row],[Sampling ABW (g)]],MAIN!$A$2:$B$10,2,TRUE)</f>
        <v>4.5</v>
      </c>
      <c r="G146" s="2">
        <f>T5_Weekly_Feed_Calc[[#This Row],[Biomass (kg)]]*T5_Weekly_Feed_Calc[[#This Row],[Feed Rate (%)]]/100</f>
        <v>2308.4622000000004</v>
      </c>
    </row>
    <row r="147" spans="1:7" ht="24" customHeight="1" x14ac:dyDescent="0.25">
      <c r="A147" t="s">
        <v>14</v>
      </c>
      <c r="B147">
        <v>56</v>
      </c>
      <c r="C147">
        <v>15.09</v>
      </c>
      <c r="D147" s="2">
        <v>1916547</v>
      </c>
      <c r="E147" s="2">
        <v>56649.51</v>
      </c>
      <c r="F147" s="8">
        <f>VLOOKUP(T5_Weekly_Feed_Calc[[#This Row],[Sampling ABW (g)]],MAIN!$A$2:$B$10,2,TRUE)</f>
        <v>3.8</v>
      </c>
      <c r="G147" s="2">
        <f>T5_Weekly_Feed_Calc[[#This Row],[Biomass (kg)]]*T5_Weekly_Feed_Calc[[#This Row],[Feed Rate (%)]]/100</f>
        <v>2152.68138</v>
      </c>
    </row>
    <row r="148" spans="1:7" ht="24" customHeight="1" x14ac:dyDescent="0.25">
      <c r="A148" t="s">
        <v>15</v>
      </c>
      <c r="B148">
        <v>56</v>
      </c>
      <c r="C148">
        <v>13.81</v>
      </c>
      <c r="D148" s="2">
        <v>1708128</v>
      </c>
      <c r="E148" s="2">
        <v>50050.239999999998</v>
      </c>
      <c r="F148" s="8">
        <f>VLOOKUP(T5_Weekly_Feed_Calc[[#This Row],[Sampling ABW (g)]],MAIN!$A$2:$B$10,2,TRUE)</f>
        <v>4.5</v>
      </c>
      <c r="G148" s="2">
        <f>T5_Weekly_Feed_Calc[[#This Row],[Biomass (kg)]]*T5_Weekly_Feed_Calc[[#This Row],[Feed Rate (%)]]/100</f>
        <v>2252.2608</v>
      </c>
    </row>
    <row r="149" spans="1:7" ht="24" customHeight="1" x14ac:dyDescent="0.25">
      <c r="A149" t="s">
        <v>16</v>
      </c>
      <c r="B149">
        <v>56</v>
      </c>
      <c r="C149">
        <v>14.02</v>
      </c>
      <c r="D149" s="2">
        <v>2154873</v>
      </c>
      <c r="E149" s="2">
        <v>56942.51</v>
      </c>
      <c r="F149" s="8">
        <f>VLOOKUP(T5_Weekly_Feed_Calc[[#This Row],[Sampling ABW (g)]],MAIN!$A$2:$B$10,2,TRUE)</f>
        <v>4.5</v>
      </c>
      <c r="G149" s="2">
        <f>T5_Weekly_Feed_Calc[[#This Row],[Biomass (kg)]]*T5_Weekly_Feed_Calc[[#This Row],[Feed Rate (%)]]/100</f>
        <v>2562.4129499999999</v>
      </c>
    </row>
    <row r="150" spans="1:7" ht="24" customHeight="1" x14ac:dyDescent="0.25">
      <c r="A150" t="s">
        <v>17</v>
      </c>
      <c r="B150">
        <v>56</v>
      </c>
      <c r="C150">
        <v>14.33</v>
      </c>
      <c r="D150" s="2">
        <v>3133904</v>
      </c>
      <c r="E150" s="2">
        <v>54715.32</v>
      </c>
      <c r="F150" s="8">
        <f>VLOOKUP(T5_Weekly_Feed_Calc[[#This Row],[Sampling ABW (g)]],MAIN!$A$2:$B$10,2,TRUE)</f>
        <v>4.5</v>
      </c>
      <c r="G150" s="2">
        <f>T5_Weekly_Feed_Calc[[#This Row],[Biomass (kg)]]*T5_Weekly_Feed_Calc[[#This Row],[Feed Rate (%)]]/100</f>
        <v>2462.1894000000002</v>
      </c>
    </row>
    <row r="151" spans="1:7" ht="24" customHeight="1" x14ac:dyDescent="0.25">
      <c r="A151" t="s">
        <v>18</v>
      </c>
      <c r="B151">
        <v>56</v>
      </c>
      <c r="C151">
        <v>13.47</v>
      </c>
      <c r="D151" s="2">
        <v>3175156</v>
      </c>
      <c r="E151" s="2">
        <v>52079.53</v>
      </c>
      <c r="F151" s="8">
        <f>VLOOKUP(T5_Weekly_Feed_Calc[[#This Row],[Sampling ABW (g)]],MAIN!$A$2:$B$10,2,TRUE)</f>
        <v>4.5</v>
      </c>
      <c r="G151" s="2">
        <f>T5_Weekly_Feed_Calc[[#This Row],[Biomass (kg)]]*T5_Weekly_Feed_Calc[[#This Row],[Feed Rate (%)]]/100</f>
        <v>2343.5788499999999</v>
      </c>
    </row>
    <row r="152" spans="1:7" ht="24" customHeight="1" x14ac:dyDescent="0.25">
      <c r="A152" t="s">
        <v>20</v>
      </c>
      <c r="B152">
        <v>56</v>
      </c>
      <c r="C152">
        <v>14.45</v>
      </c>
      <c r="D152" s="2">
        <v>1996310</v>
      </c>
      <c r="E152" s="2">
        <v>50639.98</v>
      </c>
      <c r="F152" s="8">
        <f>VLOOKUP(T5_Weekly_Feed_Calc[[#This Row],[Sampling ABW (g)]],MAIN!$A$2:$B$10,2,TRUE)</f>
        <v>4.5</v>
      </c>
      <c r="G152" s="2">
        <f>T5_Weekly_Feed_Calc[[#This Row],[Biomass (kg)]]*T5_Weekly_Feed_Calc[[#This Row],[Feed Rate (%)]]/100</f>
        <v>2278.7991000000002</v>
      </c>
    </row>
    <row r="153" spans="1:7" ht="24" customHeight="1" x14ac:dyDescent="0.25">
      <c r="A153" t="s">
        <v>21</v>
      </c>
      <c r="B153">
        <v>56</v>
      </c>
      <c r="C153">
        <v>14.18</v>
      </c>
      <c r="D153" s="2">
        <v>3265884</v>
      </c>
      <c r="E153" s="2">
        <v>55447.69</v>
      </c>
      <c r="F153" s="8">
        <f>VLOOKUP(T5_Weekly_Feed_Calc[[#This Row],[Sampling ABW (g)]],MAIN!$A$2:$B$10,2,TRUE)</f>
        <v>4.5</v>
      </c>
      <c r="G153" s="2">
        <f>T5_Weekly_Feed_Calc[[#This Row],[Biomass (kg)]]*T5_Weekly_Feed_Calc[[#This Row],[Feed Rate (%)]]/100</f>
        <v>2495.1460500000003</v>
      </c>
    </row>
    <row r="154" spans="1:7" ht="24" customHeight="1" x14ac:dyDescent="0.25">
      <c r="A154" t="s">
        <v>22</v>
      </c>
      <c r="B154">
        <v>56</v>
      </c>
      <c r="C154">
        <v>15.02</v>
      </c>
      <c r="D154" s="2">
        <v>3248753</v>
      </c>
      <c r="E154" s="2">
        <v>57565.99</v>
      </c>
      <c r="F154" s="8">
        <f>VLOOKUP(T5_Weekly_Feed_Calc[[#This Row],[Sampling ABW (g)]],MAIN!$A$2:$B$10,2,TRUE)</f>
        <v>3.8</v>
      </c>
      <c r="G154" s="2">
        <f>T5_Weekly_Feed_Calc[[#This Row],[Biomass (kg)]]*T5_Weekly_Feed_Calc[[#This Row],[Feed Rate (%)]]/100</f>
        <v>2187.5076199999999</v>
      </c>
    </row>
    <row r="155" spans="1:7" ht="24" customHeight="1" x14ac:dyDescent="0.25">
      <c r="A155" t="s">
        <v>23</v>
      </c>
      <c r="B155">
        <v>56</v>
      </c>
      <c r="C155">
        <v>15.87</v>
      </c>
      <c r="D155" s="2">
        <v>1635780</v>
      </c>
      <c r="E155" s="2">
        <v>58321.25</v>
      </c>
      <c r="F155" s="8">
        <f>VLOOKUP(T5_Weekly_Feed_Calc[[#This Row],[Sampling ABW (g)]],MAIN!$A$2:$B$10,2,TRUE)</f>
        <v>3.8</v>
      </c>
      <c r="G155" s="2">
        <f>T5_Weekly_Feed_Calc[[#This Row],[Biomass (kg)]]*T5_Weekly_Feed_Calc[[#This Row],[Feed Rate (%)]]/100</f>
        <v>2216.2075</v>
      </c>
    </row>
    <row r="156" spans="1:7" ht="24" customHeight="1" x14ac:dyDescent="0.25">
      <c r="A156" t="s">
        <v>24</v>
      </c>
      <c r="B156">
        <v>56</v>
      </c>
      <c r="C156">
        <v>15.02</v>
      </c>
      <c r="D156" s="2">
        <v>3010366</v>
      </c>
      <c r="E156" s="2">
        <v>54542.63</v>
      </c>
      <c r="F156" s="8">
        <f>VLOOKUP(T5_Weekly_Feed_Calc[[#This Row],[Sampling ABW (g)]],MAIN!$A$2:$B$10,2,TRUE)</f>
        <v>3.8</v>
      </c>
      <c r="G156" s="2">
        <f>T5_Weekly_Feed_Calc[[#This Row],[Biomass (kg)]]*T5_Weekly_Feed_Calc[[#This Row],[Feed Rate (%)]]/100</f>
        <v>2072.6199399999996</v>
      </c>
    </row>
    <row r="157" spans="1:7" ht="24" customHeight="1" x14ac:dyDescent="0.25">
      <c r="A157" t="s">
        <v>26</v>
      </c>
      <c r="B157">
        <v>56</v>
      </c>
      <c r="C157">
        <v>16.38</v>
      </c>
      <c r="D157" s="2">
        <v>3019804</v>
      </c>
      <c r="E157" s="2">
        <v>60024.81</v>
      </c>
      <c r="F157" s="8">
        <f>VLOOKUP(T5_Weekly_Feed_Calc[[#This Row],[Sampling ABW (g)]],MAIN!$A$2:$B$10,2,TRUE)</f>
        <v>3.8</v>
      </c>
      <c r="G157" s="2">
        <f>T5_Weekly_Feed_Calc[[#This Row],[Biomass (kg)]]*T5_Weekly_Feed_Calc[[#This Row],[Feed Rate (%)]]/100</f>
        <v>2280.9427799999999</v>
      </c>
    </row>
    <row r="158" spans="1:7" ht="24" customHeight="1" x14ac:dyDescent="0.25">
      <c r="A158" t="s">
        <v>27</v>
      </c>
      <c r="B158">
        <v>56</v>
      </c>
      <c r="C158">
        <v>13.33</v>
      </c>
      <c r="D158" s="2">
        <v>3043583</v>
      </c>
      <c r="E158" s="2">
        <v>50337.1</v>
      </c>
      <c r="F158" s="8">
        <f>VLOOKUP(T5_Weekly_Feed_Calc[[#This Row],[Sampling ABW (g)]],MAIN!$A$2:$B$10,2,TRUE)</f>
        <v>4.5</v>
      </c>
      <c r="G158" s="2">
        <f>T5_Weekly_Feed_Calc[[#This Row],[Biomass (kg)]]*T5_Weekly_Feed_Calc[[#This Row],[Feed Rate (%)]]/100</f>
        <v>2265.1695</v>
      </c>
    </row>
    <row r="159" spans="1:7" ht="24" customHeight="1" x14ac:dyDescent="0.25">
      <c r="A159" t="s">
        <v>28</v>
      </c>
      <c r="B159">
        <v>56</v>
      </c>
      <c r="C159">
        <v>12.43</v>
      </c>
      <c r="D159" s="2">
        <v>3130080</v>
      </c>
      <c r="E159" s="2">
        <v>46672.85</v>
      </c>
      <c r="F159" s="8">
        <f>VLOOKUP(T5_Weekly_Feed_Calc[[#This Row],[Sampling ABW (g)]],MAIN!$A$2:$B$10,2,TRUE)</f>
        <v>4.5</v>
      </c>
      <c r="G159" s="2">
        <f>T5_Weekly_Feed_Calc[[#This Row],[Biomass (kg)]]*T5_Weekly_Feed_Calc[[#This Row],[Feed Rate (%)]]/100</f>
        <v>2100.2782499999998</v>
      </c>
    </row>
    <row r="160" spans="1:7" ht="24" customHeight="1" x14ac:dyDescent="0.25">
      <c r="A160" t="s">
        <v>29</v>
      </c>
      <c r="B160">
        <v>56</v>
      </c>
      <c r="C160">
        <v>16.52</v>
      </c>
      <c r="D160" s="2">
        <v>2102805</v>
      </c>
      <c r="E160" s="2">
        <v>63183.39</v>
      </c>
      <c r="F160" s="8">
        <f>VLOOKUP(T5_Weekly_Feed_Calc[[#This Row],[Sampling ABW (g)]],MAIN!$A$2:$B$10,2,TRUE)</f>
        <v>3.8</v>
      </c>
      <c r="G160" s="2">
        <f>T5_Weekly_Feed_Calc[[#This Row],[Biomass (kg)]]*T5_Weekly_Feed_Calc[[#This Row],[Feed Rate (%)]]/100</f>
        <v>2400.9688200000001</v>
      </c>
    </row>
    <row r="161" spans="1:7" ht="24" customHeight="1" x14ac:dyDescent="0.25">
      <c r="A161" t="s">
        <v>30</v>
      </c>
      <c r="B161">
        <v>56</v>
      </c>
      <c r="C161">
        <v>13.68</v>
      </c>
      <c r="D161" s="2">
        <v>3043078</v>
      </c>
      <c r="E161" s="2">
        <v>50240.81</v>
      </c>
      <c r="F161" s="8">
        <f>VLOOKUP(T5_Weekly_Feed_Calc[[#This Row],[Sampling ABW (g)]],MAIN!$A$2:$B$10,2,TRUE)</f>
        <v>4.5</v>
      </c>
      <c r="G161" s="2">
        <f>T5_Weekly_Feed_Calc[[#This Row],[Biomass (kg)]]*T5_Weekly_Feed_Calc[[#This Row],[Feed Rate (%)]]/100</f>
        <v>2260.8364499999998</v>
      </c>
    </row>
    <row r="162" spans="1:7" ht="24" customHeight="1" x14ac:dyDescent="0.25">
      <c r="A162" t="s">
        <v>8</v>
      </c>
      <c r="B162">
        <v>60</v>
      </c>
      <c r="C162">
        <v>14.6</v>
      </c>
      <c r="D162" s="2">
        <v>3049155</v>
      </c>
      <c r="E162" s="2">
        <f>T5_Weekly_Feed_Calc[[#This Row],[Pop Count]]*T5_Weekly_Feed_Calc[[#This Row],[Sampling ABW (g)]]/1000</f>
        <v>44517.663</v>
      </c>
      <c r="F162" s="8">
        <f>VLOOKUP(T5_Weekly_Feed_Calc[[#This Row],[Sampling ABW (g)]],MAIN!$A$2:$B$10,2,TRUE)</f>
        <v>4.5</v>
      </c>
      <c r="G162" s="2">
        <f>T5_Weekly_Feed_Calc[[#This Row],[Biomass (kg)]]*T5_Weekly_Feed_Calc[[#This Row],[Feed Rate (%)]]/100</f>
        <v>2003.2948349999999</v>
      </c>
    </row>
    <row r="163" spans="1:7" ht="24" customHeight="1" x14ac:dyDescent="0.25">
      <c r="A163" t="s">
        <v>9</v>
      </c>
      <c r="B163">
        <v>60</v>
      </c>
      <c r="C163">
        <v>15.27</v>
      </c>
      <c r="D163" s="2">
        <v>3273994</v>
      </c>
      <c r="E163" s="2">
        <v>61244.82</v>
      </c>
      <c r="F163" s="8">
        <f>VLOOKUP(T5_Weekly_Feed_Calc[[#This Row],[Sampling ABW (g)]],MAIN!$A$2:$B$10,2,TRUE)</f>
        <v>3.8</v>
      </c>
      <c r="G163" s="2">
        <f>T5_Weekly_Feed_Calc[[#This Row],[Biomass (kg)]]*T5_Weekly_Feed_Calc[[#This Row],[Feed Rate (%)]]/100</f>
        <v>2327.3031599999999</v>
      </c>
    </row>
    <row r="164" spans="1:7" ht="24" customHeight="1" x14ac:dyDescent="0.25">
      <c r="A164" t="s">
        <v>10</v>
      </c>
      <c r="B164">
        <v>60</v>
      </c>
      <c r="C164">
        <v>14.24</v>
      </c>
      <c r="D164" s="2">
        <v>3179348</v>
      </c>
      <c r="E164" s="2">
        <v>55208.37</v>
      </c>
      <c r="F164" s="8">
        <f>VLOOKUP(T5_Weekly_Feed_Calc[[#This Row],[Sampling ABW (g)]],MAIN!$A$2:$B$10,2,TRUE)</f>
        <v>4.5</v>
      </c>
      <c r="G164" s="2">
        <f>T5_Weekly_Feed_Calc[[#This Row],[Biomass (kg)]]*T5_Weekly_Feed_Calc[[#This Row],[Feed Rate (%)]]/100</f>
        <v>2484.3766500000002</v>
      </c>
    </row>
    <row r="165" spans="1:7" ht="24" customHeight="1" x14ac:dyDescent="0.25">
      <c r="A165" t="s">
        <v>11</v>
      </c>
      <c r="B165">
        <v>60</v>
      </c>
      <c r="C165">
        <v>15.57</v>
      </c>
      <c r="D165" s="2">
        <v>2044152</v>
      </c>
      <c r="E165" s="2">
        <v>59219.19</v>
      </c>
      <c r="F165" s="8">
        <f>VLOOKUP(T5_Weekly_Feed_Calc[[#This Row],[Sampling ABW (g)]],MAIN!$A$2:$B$10,2,TRUE)</f>
        <v>3.8</v>
      </c>
      <c r="G165" s="2">
        <f>T5_Weekly_Feed_Calc[[#This Row],[Biomass (kg)]]*T5_Weekly_Feed_Calc[[#This Row],[Feed Rate (%)]]/100</f>
        <v>2250.3292200000001</v>
      </c>
    </row>
    <row r="166" spans="1:7" ht="24" customHeight="1" x14ac:dyDescent="0.25">
      <c r="A166" t="s">
        <v>12</v>
      </c>
      <c r="B166">
        <v>60</v>
      </c>
      <c r="C166">
        <v>15.32</v>
      </c>
      <c r="D166" s="2">
        <v>3007600</v>
      </c>
      <c r="E166" s="2">
        <v>54494.51</v>
      </c>
      <c r="F166" s="8">
        <f>VLOOKUP(T5_Weekly_Feed_Calc[[#This Row],[Sampling ABW (g)]],MAIN!$A$2:$B$10,2,TRUE)</f>
        <v>3.8</v>
      </c>
      <c r="G166" s="2">
        <f>T5_Weekly_Feed_Calc[[#This Row],[Biomass (kg)]]*T5_Weekly_Feed_Calc[[#This Row],[Feed Rate (%)]]/100</f>
        <v>2070.7913800000001</v>
      </c>
    </row>
    <row r="167" spans="1:7" ht="24" customHeight="1" x14ac:dyDescent="0.25">
      <c r="A167" t="s">
        <v>14</v>
      </c>
      <c r="B167">
        <v>60</v>
      </c>
      <c r="C167">
        <v>15.9</v>
      </c>
      <c r="D167" s="2">
        <v>1890342</v>
      </c>
      <c r="E167" s="2">
        <v>59088.32</v>
      </c>
      <c r="F167" s="8">
        <f>VLOOKUP(T5_Weekly_Feed_Calc[[#This Row],[Sampling ABW (g)]],MAIN!$A$2:$B$10,2,TRUE)</f>
        <v>3.8</v>
      </c>
      <c r="G167" s="2">
        <f>T5_Weekly_Feed_Calc[[#This Row],[Biomass (kg)]]*T5_Weekly_Feed_Calc[[#This Row],[Feed Rate (%)]]/100</f>
        <v>2245.3561599999998</v>
      </c>
    </row>
    <row r="168" spans="1:7" ht="24" customHeight="1" x14ac:dyDescent="0.25">
      <c r="A168" t="s">
        <v>15</v>
      </c>
      <c r="B168">
        <v>60</v>
      </c>
      <c r="C168">
        <v>14.6</v>
      </c>
      <c r="D168" s="2">
        <v>1696372</v>
      </c>
      <c r="E168" s="2">
        <v>52203.67</v>
      </c>
      <c r="F168" s="8">
        <f>VLOOKUP(T5_Weekly_Feed_Calc[[#This Row],[Sampling ABW (g)]],MAIN!$A$2:$B$10,2,TRUE)</f>
        <v>4.5</v>
      </c>
      <c r="G168" s="2">
        <f>T5_Weekly_Feed_Calc[[#This Row],[Biomass (kg)]]*T5_Weekly_Feed_Calc[[#This Row],[Feed Rate (%)]]/100</f>
        <v>2349.1651499999998</v>
      </c>
    </row>
    <row r="169" spans="1:7" ht="24" customHeight="1" x14ac:dyDescent="0.25">
      <c r="A169" t="s">
        <v>16</v>
      </c>
      <c r="B169">
        <v>60</v>
      </c>
      <c r="C169">
        <v>14.73</v>
      </c>
      <c r="D169" s="2">
        <v>2141695</v>
      </c>
      <c r="E169" s="2">
        <v>59438.18</v>
      </c>
      <c r="F169" s="8">
        <f>VLOOKUP(T5_Weekly_Feed_Calc[[#This Row],[Sampling ABW (g)]],MAIN!$A$2:$B$10,2,TRUE)</f>
        <v>4.5</v>
      </c>
      <c r="G169" s="2">
        <f>T5_Weekly_Feed_Calc[[#This Row],[Biomass (kg)]]*T5_Weekly_Feed_Calc[[#This Row],[Feed Rate (%)]]/100</f>
        <v>2674.7181</v>
      </c>
    </row>
    <row r="170" spans="1:7" ht="24" customHeight="1" x14ac:dyDescent="0.25">
      <c r="A170" t="s">
        <v>17</v>
      </c>
      <c r="B170">
        <v>60</v>
      </c>
      <c r="C170">
        <v>14.93</v>
      </c>
      <c r="D170" s="2">
        <v>3118819</v>
      </c>
      <c r="E170" s="2">
        <v>56530.42</v>
      </c>
      <c r="F170" s="8">
        <f>VLOOKUP(T5_Weekly_Feed_Calc[[#This Row],[Sampling ABW (g)]],MAIN!$A$2:$B$10,2,TRUE)</f>
        <v>4.5</v>
      </c>
      <c r="G170" s="2">
        <f>T5_Weekly_Feed_Calc[[#This Row],[Biomass (kg)]]*T5_Weekly_Feed_Calc[[#This Row],[Feed Rate (%)]]/100</f>
        <v>2543.8688999999999</v>
      </c>
    </row>
    <row r="171" spans="1:7" ht="24" customHeight="1" x14ac:dyDescent="0.25">
      <c r="A171" t="s">
        <v>18</v>
      </c>
      <c r="B171">
        <v>60</v>
      </c>
      <c r="C171">
        <v>14.49</v>
      </c>
      <c r="D171" s="2">
        <v>3172525</v>
      </c>
      <c r="E171" s="2">
        <v>55701.18</v>
      </c>
      <c r="F171" s="8">
        <f>VLOOKUP(T5_Weekly_Feed_Calc[[#This Row],[Sampling ABW (g)]],MAIN!$A$2:$B$10,2,TRUE)</f>
        <v>4.5</v>
      </c>
      <c r="G171" s="2">
        <f>T5_Weekly_Feed_Calc[[#This Row],[Biomass (kg)]]*T5_Weekly_Feed_Calc[[#This Row],[Feed Rate (%)]]/100</f>
        <v>2506.5531000000001</v>
      </c>
    </row>
    <row r="172" spans="1:7" ht="24" customHeight="1" x14ac:dyDescent="0.25">
      <c r="A172" t="s">
        <v>20</v>
      </c>
      <c r="B172">
        <v>60</v>
      </c>
      <c r="C172">
        <v>15.44</v>
      </c>
      <c r="D172" s="2">
        <v>1975460</v>
      </c>
      <c r="E172" s="2">
        <v>53654.39</v>
      </c>
      <c r="F172" s="8">
        <f>VLOOKUP(T5_Weekly_Feed_Calc[[#This Row],[Sampling ABW (g)]],MAIN!$A$2:$B$10,2,TRUE)</f>
        <v>3.8</v>
      </c>
      <c r="G172" s="2">
        <f>T5_Weekly_Feed_Calc[[#This Row],[Biomass (kg)]]*T5_Weekly_Feed_Calc[[#This Row],[Feed Rate (%)]]/100</f>
        <v>2038.86682</v>
      </c>
    </row>
    <row r="173" spans="1:7" ht="24" customHeight="1" x14ac:dyDescent="0.25">
      <c r="A173" t="s">
        <v>21</v>
      </c>
      <c r="B173">
        <v>60</v>
      </c>
      <c r="C173">
        <v>15.27</v>
      </c>
      <c r="D173" s="2">
        <v>3252712</v>
      </c>
      <c r="E173" s="2">
        <v>59419.67</v>
      </c>
      <c r="F173" s="8">
        <f>VLOOKUP(T5_Weekly_Feed_Calc[[#This Row],[Sampling ABW (g)]],MAIN!$A$2:$B$10,2,TRUE)</f>
        <v>3.8</v>
      </c>
      <c r="G173" s="2">
        <f>T5_Weekly_Feed_Calc[[#This Row],[Biomass (kg)]]*T5_Weekly_Feed_Calc[[#This Row],[Feed Rate (%)]]/100</f>
        <v>2257.9474599999999</v>
      </c>
    </row>
    <row r="174" spans="1:7" ht="24" customHeight="1" x14ac:dyDescent="0.25">
      <c r="A174" t="s">
        <v>22</v>
      </c>
      <c r="B174">
        <v>60</v>
      </c>
      <c r="C174">
        <v>16.100000000000001</v>
      </c>
      <c r="D174" s="2">
        <v>3243933</v>
      </c>
      <c r="E174" s="2">
        <v>61226.58</v>
      </c>
      <c r="F174" s="8">
        <f>VLOOKUP(T5_Weekly_Feed_Calc[[#This Row],[Sampling ABW (g)]],MAIN!$A$2:$B$10,2,TRUE)</f>
        <v>3.8</v>
      </c>
      <c r="G174" s="2">
        <f>T5_Weekly_Feed_Calc[[#This Row],[Biomass (kg)]]*T5_Weekly_Feed_Calc[[#This Row],[Feed Rate (%)]]/100</f>
        <v>2326.61004</v>
      </c>
    </row>
    <row r="175" spans="1:7" ht="24" customHeight="1" x14ac:dyDescent="0.25">
      <c r="A175" t="s">
        <v>23</v>
      </c>
      <c r="B175">
        <v>60</v>
      </c>
      <c r="C175">
        <v>16.72</v>
      </c>
      <c r="D175" s="2">
        <v>1593700</v>
      </c>
      <c r="E175" s="2">
        <v>60986.13</v>
      </c>
      <c r="F175" s="8">
        <f>VLOOKUP(T5_Weekly_Feed_Calc[[#This Row],[Sampling ABW (g)]],MAIN!$A$2:$B$10,2,TRUE)</f>
        <v>3.8</v>
      </c>
      <c r="G175" s="2">
        <f>T5_Weekly_Feed_Calc[[#This Row],[Biomass (kg)]]*T5_Weekly_Feed_Calc[[#This Row],[Feed Rate (%)]]/100</f>
        <v>2317.4729399999997</v>
      </c>
    </row>
    <row r="176" spans="1:7" ht="24" customHeight="1" x14ac:dyDescent="0.25">
      <c r="A176" t="s">
        <v>24</v>
      </c>
      <c r="B176">
        <v>60</v>
      </c>
      <c r="C176">
        <v>15.98</v>
      </c>
      <c r="D176" s="2">
        <v>2994795</v>
      </c>
      <c r="E176" s="2">
        <v>57806.33</v>
      </c>
      <c r="F176" s="8">
        <f>VLOOKUP(T5_Weekly_Feed_Calc[[#This Row],[Sampling ABW (g)]],MAIN!$A$2:$B$10,2,TRUE)</f>
        <v>3.8</v>
      </c>
      <c r="G176" s="2">
        <f>T5_Weekly_Feed_Calc[[#This Row],[Biomass (kg)]]*T5_Weekly_Feed_Calc[[#This Row],[Feed Rate (%)]]/100</f>
        <v>2196.6405399999999</v>
      </c>
    </row>
    <row r="177" spans="1:7" ht="24" customHeight="1" x14ac:dyDescent="0.25">
      <c r="A177" t="s">
        <v>26</v>
      </c>
      <c r="B177">
        <v>60</v>
      </c>
      <c r="C177">
        <v>17.440000000000001</v>
      </c>
      <c r="D177" s="2">
        <v>3009333</v>
      </c>
      <c r="E177" s="2">
        <v>63278.080000000002</v>
      </c>
      <c r="F177" s="8">
        <f>VLOOKUP(T5_Weekly_Feed_Calc[[#This Row],[Sampling ABW (g)]],MAIN!$A$2:$B$10,2,TRUE)</f>
        <v>3.8</v>
      </c>
      <c r="G177" s="2">
        <f>T5_Weekly_Feed_Calc[[#This Row],[Biomass (kg)]]*T5_Weekly_Feed_Calc[[#This Row],[Feed Rate (%)]]/100</f>
        <v>2404.5670399999999</v>
      </c>
    </row>
    <row r="178" spans="1:7" ht="24" customHeight="1" x14ac:dyDescent="0.25">
      <c r="A178" t="s">
        <v>27</v>
      </c>
      <c r="B178">
        <v>60</v>
      </c>
      <c r="C178">
        <v>14.34</v>
      </c>
      <c r="D178" s="2">
        <v>3028322</v>
      </c>
      <c r="E178" s="2">
        <v>53450.01</v>
      </c>
      <c r="F178" s="8">
        <f>VLOOKUP(T5_Weekly_Feed_Calc[[#This Row],[Sampling ABW (g)]],MAIN!$A$2:$B$10,2,TRUE)</f>
        <v>4.5</v>
      </c>
      <c r="G178" s="2">
        <f>T5_Weekly_Feed_Calc[[#This Row],[Biomass (kg)]]*T5_Weekly_Feed_Calc[[#This Row],[Feed Rate (%)]]/100</f>
        <v>2405.25045</v>
      </c>
    </row>
    <row r="179" spans="1:7" ht="24" customHeight="1" x14ac:dyDescent="0.25">
      <c r="A179" t="s">
        <v>28</v>
      </c>
      <c r="B179">
        <v>60</v>
      </c>
      <c r="C179">
        <v>13.12</v>
      </c>
      <c r="D179" s="2">
        <v>3122342</v>
      </c>
      <c r="E179" s="2">
        <v>48605.45</v>
      </c>
      <c r="F179" s="8">
        <f>VLOOKUP(T5_Weekly_Feed_Calc[[#This Row],[Sampling ABW (g)]],MAIN!$A$2:$B$10,2,TRUE)</f>
        <v>4.5</v>
      </c>
      <c r="G179" s="2">
        <f>T5_Weekly_Feed_Calc[[#This Row],[Biomass (kg)]]*T5_Weekly_Feed_Calc[[#This Row],[Feed Rate (%)]]/100</f>
        <v>2187.2452499999999</v>
      </c>
    </row>
    <row r="180" spans="1:7" ht="24" customHeight="1" x14ac:dyDescent="0.25">
      <c r="A180" t="s">
        <v>29</v>
      </c>
      <c r="B180">
        <v>60</v>
      </c>
      <c r="C180">
        <v>17.32</v>
      </c>
      <c r="D180" s="2">
        <v>2056375</v>
      </c>
      <c r="E180" s="2">
        <v>65879.44</v>
      </c>
      <c r="F180" s="8">
        <f>VLOOKUP(T5_Weekly_Feed_Calc[[#This Row],[Sampling ABW (g)]],MAIN!$A$2:$B$10,2,TRUE)</f>
        <v>3.8</v>
      </c>
      <c r="G180" s="2">
        <f>T5_Weekly_Feed_Calc[[#This Row],[Biomass (kg)]]*T5_Weekly_Feed_Calc[[#This Row],[Feed Rate (%)]]/100</f>
        <v>2503.4187200000001</v>
      </c>
    </row>
    <row r="181" spans="1:7" ht="24" customHeight="1" x14ac:dyDescent="0.25">
      <c r="A181" t="s">
        <v>30</v>
      </c>
      <c r="B181">
        <v>60</v>
      </c>
      <c r="C181">
        <v>14.32</v>
      </c>
      <c r="D181" s="2">
        <v>3040339</v>
      </c>
      <c r="E181" s="2">
        <v>52203.19</v>
      </c>
      <c r="F181" s="8">
        <f>VLOOKUP(T5_Weekly_Feed_Calc[[#This Row],[Sampling ABW (g)]],MAIN!$A$2:$B$10,2,TRUE)</f>
        <v>4.5</v>
      </c>
      <c r="G181" s="2">
        <f>T5_Weekly_Feed_Calc[[#This Row],[Biomass (kg)]]*T5_Weekly_Feed_Calc[[#This Row],[Feed Rate (%)]]/100</f>
        <v>2349.1435500000002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T1_Stocking</vt:lpstr>
      <vt:lpstr>T2_Pop_Count_Sampling</vt:lpstr>
      <vt:lpstr>T3_Daily_Feed_Req</vt:lpstr>
      <vt:lpstr>T5_Weekly_Feed_Calc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Mumtaz Sajid</cp:lastModifiedBy>
  <dcterms:created xsi:type="dcterms:W3CDTF">2026-05-06T11:17:30Z</dcterms:created>
  <dcterms:modified xsi:type="dcterms:W3CDTF">2026-05-27T07:56:02Z</dcterms:modified>
</cp:coreProperties>
</file>